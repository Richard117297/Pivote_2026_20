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89db57c30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Backlog - P-US" sheetId="1" r:id="R7e4883b9e0134e46"/>
    <x:sheet xmlns:r="http://schemas.openxmlformats.org/officeDocument/2006/relationships" name="Sprint Backlog - Tiempo" sheetId="2" r:id="R396e207126cf480b"/>
    <x:sheet xmlns:r="http://schemas.openxmlformats.org/officeDocument/2006/relationships" name="Tabla Notas" sheetId="3" r:id="Re8ca0a14d6524a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0%"/>
  </x:numFmts>
  <x:fonts count="7">
    <x:font>
      <x:sz val="11"/>
      <x:name val="Carlito"/>
    </x:font>
    <x:font>
      <x:b/>
      <x:sz val="12"/>
      <x:color rgb="FF1F1F1F"/>
      <x:name val="Calibri"/>
    </x:font>
    <x:font>
      <x:b/>
      <x:sz val="10"/>
      <x:color rgb="FF1F1F1F"/>
      <x:name val="Calibri"/>
    </x:font>
    <x:font>
      <x:sz val="9"/>
      <x:color rgb="FF1F1F1F"/>
      <x:name val="Calibri"/>
    </x:font>
    <x:font>
      <x:b/>
      <x:sz val="10"/>
      <x:color rgb="FFFFF200"/>
      <x:name val="Calibri"/>
    </x:font>
    <x:font>
      <x:b/>
      <x:sz val="9"/>
      <x:color rgb="FF1F1F1F"/>
      <x:name val="Calibri"/>
    </x:font>
    <x:font>
      <x:sz val="10"/>
      <x:color rgb="FF1F1F1F"/>
      <x:name val="Calibri"/>
    </x:font>
  </x:fonts>
  <x:fills count="21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  <x:fill>
      <x:patternFill patternType="solid">
        <x:fgColor rgb="FFF8CBAD"/>
      </x:patternFill>
    </x:fill>
    <x:fill>
      <x:patternFill patternType="solid">
        <x:fgColor rgb="FF8CFF5A"/>
      </x:patternFill>
    </x:fill>
    <x:fill>
      <x:patternFill patternType="solid">
        <x:fgColor rgb="FFFFFFFF"/>
      </x:patternFill>
    </x:fill>
    <x:fill>
      <x:patternFill patternType="solid">
        <x:fgColor rgb="FFA9D18E"/>
      </x:patternFill>
    </x:fill>
    <x:fill>
      <x:patternFill patternType="solid">
        <x:fgColor rgb="FFDDEBF7"/>
      </x:patternFill>
    </x:fill>
    <x:fill>
      <x:patternFill patternType="solid">
        <x:fgColor rgb="FF20B5E5"/>
      </x:patternFill>
    </x:fill>
    <x:fill>
      <x:patternFill patternType="solid">
        <x:fgColor rgb="FFFF1493"/>
      </x:patternFill>
    </x:fill>
    <x:fill>
      <x:patternFill patternType="solid">
        <x:fgColor rgb="FFF57C2C"/>
      </x:patternFill>
    </x:fill>
    <x:fill>
      <x:patternFill patternType="solid">
        <x:fgColor rgb="FFFFB52B"/>
      </x:patternFill>
    </x:fill>
    <x:fill>
      <x:patternFill patternType="solid">
        <x:fgColor rgb="FFB66DE8"/>
      </x:patternFill>
    </x:fill>
    <x:fill>
      <x:patternFill patternType="solid">
        <x:fgColor rgb="FF5B9BD5"/>
      </x:patternFill>
    </x:fill>
    <x:fill>
      <x:patternFill patternType="solid">
        <x:fgColor rgb="FF79E7B2"/>
      </x:patternFill>
    </x:fill>
    <x:fill>
      <x:patternFill patternType="solid">
        <x:fgColor rgb="FF082B66"/>
      </x:patternFill>
    </x:fill>
    <x:fill>
      <x:patternFill patternType="solid">
        <x:fgColor rgb="FFD9E2F3"/>
      </x:patternFill>
    </x:fill>
    <x:fill>
      <x:patternFill patternType="solid">
        <x:fgColor rgb="FFFFE699"/>
      </x:patternFill>
    </x:fill>
    <x:fill>
      <x:patternFill patternType="solid">
        <x:fgColor rgb="FFBDD7EE"/>
      </x:patternFill>
    </x:fill>
  </x:fills>
  <x:borders count="4">
    <x:border/>
    <x:border>
      <x:left style="thin">
        <x:color rgb="FF2F2F2F"/>
      </x:left>
      <x:right style="thin">
        <x:color rgb="FF2F2F2F"/>
      </x:right>
      <x:top style="thin">
        <x:color rgb="FF2F2F2F"/>
      </x:top>
      <x:bottom style="thin">
        <x:color rgb="FF2F2F2F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 wrapText="1"/>
    </x:xf>
    <x:xf numFmtId="0" fontId="3" fillId="15" borderId="1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vertical="center" wrapText="1"/>
    </x:xf>
    <x:xf numFmtId="0" fontId="3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4" fillId="17" borderId="1" xfId="0" applyNumberFormat="1" applyFont="1" applyFill="1" applyBorder="1" applyAlignment="1">
      <x:alignment horizontal="center" vertical="center" wrapText="1"/>
    </x:xf>
    <x:xf numFmtId="200" fontId="4" fillId="17" borderId="1" xfId="0" applyNumberFormat="1" applyFont="1" applyFill="1" applyBorder="1" applyAlignment="1">
      <x:alignment horizontal="center" vertical="center" wrapText="1"/>
    </x:xf>
    <x:xf numFmtId="201" fontId="4" fillId="17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/>
    <x:xf numFmtId="20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horizontal="center"/>
    </x:xf>
    <x:xf numFmtId="200" fontId="3" fillId="0" borderId="2" xfId="0" applyNumberFormat="1" applyFont="1" applyFill="1" applyBorder="1" applyAlignment="1">
      <x:alignment horizontal="center"/>
    </x:xf>
    <x:xf numFmtId="201" fontId="3" fillId="5" borderId="1" xfId="0" applyNumberFormat="1" applyFont="1" applyFill="1" applyBorder="1" applyAlignment="1">
      <x:alignment vertical="center" wrapText="1"/>
    </x:xf>
    <x:xf numFmtId="201" fontId="3" fillId="7" borderId="1" xfId="0" applyNumberFormat="1" applyFont="1" applyFill="1" applyBorder="1" applyAlignment="1">
      <x:alignment horizontal="center" vertical="center" wrapText="1"/>
    </x:xf>
    <x:xf numFmtId="201" fontId="3" fillId="9" borderId="1" xfId="0" applyNumberFormat="1" applyFont="1" applyFill="1" applyBorder="1" applyAlignment="1">
      <x:alignment horizontal="center" vertical="center" wrapText="1"/>
    </x:xf>
    <x:xf numFmtId="200" fontId="3" fillId="5" borderId="1" xfId="0" applyNumberFormat="1" applyFont="1" applyFill="1" applyBorder="1" applyAlignment="1">
      <x:alignment vertical="center" wrapText="1"/>
    </x:xf>
    <x:xf numFmtId="200" fontId="3" fillId="7" borderId="1" xfId="0" applyNumberFormat="1" applyFont="1" applyFill="1" applyBorder="1" applyAlignment="1">
      <x:alignment horizontal="center" vertical="center" wrapText="1"/>
    </x:xf>
    <x:xf numFmtId="200" fontId="3" fillId="9" borderId="1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2" fillId="18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19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6" fillId="20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6" fillId="19" borderId="0" xfId="0" applyNumberFormat="1" applyFont="1" applyFill="1" applyBorder="1"/>
    <x:xf numFmtId="0" fontId="6" fillId="2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19" borderId="0" xfId="0" applyNumberFormat="1" applyFont="1" applyFill="1" applyBorder="1" applyAlignment="1">
      <x:alignment wrapText="1"/>
    </x:xf>
    <x:xf numFmtId="0" fontId="6" fillId="2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19" borderId="0" xfId="0" applyNumberFormat="1" applyFont="1" applyFill="1" applyBorder="1" applyAlignment="1">
      <x:alignment horizontal="center" wrapText="1"/>
    </x:xf>
    <x:xf numFmtId="0" fontId="6" fillId="2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202" fontId="6" fillId="0" borderId="0" xfId="0" applyNumberFormat="1" applyFont="1" applyFill="1" applyBorder="1" applyAlignment="1">
      <x:alignment horizontal="center" vertical="center" wrapText="1"/>
    </x:xf>
    <x:xf numFmtId="201" fontId="6" fillId="19" borderId="0" xfId="0" applyNumberFormat="1" applyFont="1" applyFill="1" applyBorder="1" applyAlignment="1">
      <x:alignment horizontal="center" vertical="center" wrapText="1"/>
    </x:xf>
    <x:xf numFmtId="201" fontId="6" fillId="20" borderId="0" xfId="0" applyNumberFormat="1" applyFont="1" applyFill="1" applyBorder="1" applyAlignment="1">
      <x:alignment horizontal="center" vertical="center" wrapText="1"/>
    </x:xf>
    <x:xf numFmtId="201" fontId="6" fillId="0" borderId="0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19" borderId="1" xfId="0" applyNumberFormat="1" applyFont="1" applyFill="1" applyBorder="1" applyAlignment="1">
      <x:alignment horizontal="center" vertical="center" wrapText="1"/>
    </x:xf>
    <x:xf numFmtId="0" fontId="6" fillId="2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201" fontId="6" fillId="0" borderId="1" xfId="0" applyNumberFormat="1" applyFont="1" applyFill="1" applyBorder="1" applyAlignment="1">
      <x:alignment horizontal="center" vertical="center" wrapText="1"/>
    </x:xf>
    <x:xf numFmtId="202" fontId="6" fillId="0" borderId="1" xfId="0" applyNumberFormat="1" applyFont="1" applyFill="1" applyBorder="1" applyAlignment="1">
      <x:alignment horizontal="center" vertical="center" wrapText="1"/>
    </x:xf>
    <x:xf numFmtId="201" fontId="6" fillId="19" borderId="1" xfId="0" applyNumberFormat="1" applyFont="1" applyFill="1" applyBorder="1" applyAlignment="1">
      <x:alignment horizontal="center" vertical="center" wrapText="1"/>
    </x:xf>
    <x:xf numFmtId="201" fontId="6" fillId="2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0dbb2ff4048a0" /><Relationship Type="http://schemas.openxmlformats.org/officeDocument/2006/relationships/theme" Target="/xl/theme/theme1.xml" Id="R6fb5744dfde3479d" /><Relationship Type="http://schemas.openxmlformats.org/officeDocument/2006/relationships/sharedStrings" Target="/xl/sharedStrings.xml" Id="R57656ab2263c4990" /><Relationship Type="http://schemas.openxmlformats.org/officeDocument/2006/relationships/worksheet" Target="/xl/worksheets/sheet1.xml" Id="R7e4883b9e0134e46" /><Relationship Type="http://schemas.openxmlformats.org/officeDocument/2006/relationships/worksheet" Target="/xl/worksheets/sheet2.xml" Id="R396e207126cf480b" /><Relationship Type="http://schemas.openxmlformats.org/officeDocument/2006/relationships/worksheet" Target="/xl/worksheets/sheet3.xml" Id="Re8ca0a14d6524a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73f47dbe394ff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1d899be69144a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Burn Down Puntos US</a:t>
            </a:r>
          </a:p>
        </c:rich>
      </c:tx>
    </c:title>
    <c:plotArea>
      <c:lineChart>
        <c:grouping val="standard"/>
        <c:ser>
          <c:idx val="0"/>
          <c:order val="0"/>
          <c:tx>
            <c:v>Avance esperado</c:v>
          </c:tx>
          <c:marker>
            <c:symbol val="none"/>
          </c:marker>
          <c:cat>
            <c:strRef>
              <c:f>'Sprint Backlog - P-US'!$U$26:$U$38</c:f>
              <c:strCache>
                <c:ptCount val="0"/>
              </c:strCache>
            </c:strRef>
          </c:cat>
          <c:val>
            <c:numRef>
              <c:f>'Sprint Backlog - P-US'!$V$26:$V$38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Avance real</c:v>
          </c:tx>
          <c:marker>
            <c:symbol val="none"/>
          </c:marker>
          <c:cat>
            <c:strRef>
              <c:f>'Sprint Backlog - P-US'!$U$26:$U$38</c:f>
              <c:strCache>
                <c:ptCount val="0"/>
              </c:strCache>
            </c:strRef>
          </c:cat>
          <c:val>
            <c:numRef>
              <c:f>'Sprint Backlog - P-US'!$W$26:$W$38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Burn Down horas invertidas en el SPRINT</a:t>
            </a:r>
          </a:p>
        </c:rich>
      </c:tx>
    </c:title>
    <c:plotArea>
      <c:lineChart>
        <c:grouping val="standard"/>
        <c:ser>
          <c:idx val="0"/>
          <c:order val="0"/>
          <c:tx>
            <c:v>Tiempo proyectado</c:v>
          </c:tx>
          <c:marker>
            <c:symbol val="none"/>
          </c:marker>
          <c:cat>
            <c:strRef>
              <c:f>'Sprint Backlog - Tiempo'!$U$26:$U$38</c:f>
              <c:strCache>
                <c:ptCount val="0"/>
              </c:strCache>
            </c:strRef>
          </c:cat>
          <c:val>
            <c:numRef>
              <c:f>'Sprint Backlog - Tiempo'!$V$26:$V$38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Tiempo real</c:v>
          </c:tx>
          <c:marker>
            <c:symbol val="none"/>
          </c:marker>
          <c:cat>
            <c:strRef>
              <c:f>'Sprint Backlog - Tiempo'!$U$26:$U$38</c:f>
              <c:strCache>
                <c:ptCount val="0"/>
              </c:strCache>
            </c:strRef>
          </c:cat>
          <c:val>
            <c:numRef>
              <c:f>'Sprint Backlog - Tiempo'!$W$26:$W$38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20</xdr:col>
      <xdr:colOff>0</xdr:colOff>
      <xdr:row>1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73f47dbe394ff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20</xdr:col>
      <xdr:colOff>0</xdr:colOff>
      <xdr:row>1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d899be69144ab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16aed20f1b40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35adda9518a4b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1" max="21" width="7.78000020980835" hidden="0" customWidth="1"/>
    <x:col min="22" max="22" width="11.670000076293945" hidden="0" customWidth="1"/>
    <x:col min="23" max="23" width="11.670000076293945" hidden="0" customWidth="1"/>
    <x:col min="1" max="1" width="8" hidden="0" customWidth="1"/>
    <x:col min="2" max="2" width="10.220000267028809" hidden="0" customWidth="1"/>
    <x:col min="3" max="3" width="46.66999816894531" hidden="0" customWidth="1"/>
    <x:col min="4" max="4" width="21.670000076293945" hidden="0" customWidth="1"/>
    <x:col min="5" max="5" width="9.109999656677246" hidden="0" customWidth="1"/>
    <x:col min="6" max="6" width="10" hidden="0" customWidth="1"/>
    <x:col min="7" max="7" width="10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</x:cols>
  <x:sheetData>
    <x:row r="1">
      <x:c r="A1" s="3" t="str">
        <x:v>SEGUIMIENTO PUNTOS POR HISTORIA DE USUARIO</x:v>
      </x:c>
      <x:c r="B1" s="3"/>
      <x:c r="C1" s="3"/>
      <x:c r="D1" s="3"/>
      <x:c r="E1" s="3"/>
      <x:c r="F1" s="3"/>
      <x:c r="G1" s="3"/>
      <x:c r="H1" s="5" t="str">
        <x:v>SEMANA 1 - SPRINT 1</x:v>
      </x:c>
      <x:c r="I1" s="5"/>
      <x:c r="J1" s="5"/>
      <x:c r="K1" s="5"/>
      <x:c r="L1" s="5"/>
      <x:c r="M1" s="5"/>
      <x:c r="N1" s="5" t="str">
        <x:v>SEMANA 2 - SPRINT 1</x:v>
      </x:c>
      <x:c r="O1" s="5"/>
      <x:c r="P1" s="5"/>
      <x:c r="Q1" s="5"/>
      <x:c r="R1" s="5"/>
      <x:c r="S1" s="5"/>
    </x:row>
    <x:row r="2">
      <x:c r="A2" s="12" t="str">
        <x:v>HU-ID</x:v>
      </x:c>
      <x:c r="B2" s="12" t="str">
        <x:v>TASK-ID</x:v>
      </x:c>
      <x:c r="C2" s="12" t="str">
        <x:v>HU/TASK</x:v>
      </x:c>
      <x:c r="D2" s="12" t="str">
        <x:v>ASIGNADO A</x:v>
      </x:c>
      <x:c r="E2" s="12" t="str">
        <x:v>ESTADO</x:v>
      </x:c>
      <x:c r="F2" s="13" t="str">
        <x:v>P-US ASIGNADOS</x:v>
      </x:c>
      <x:c r="G2" s="13" t="str">
        <x:v>P-US REALIZADOS</x:v>
      </x:c>
      <x:c r="H2" s="12" t="n">
        <x:v>1</x:v>
      </x:c>
      <x:c r="I2" s="12" t="n">
        <x:v>2</x:v>
      </x:c>
      <x:c r="J2" s="12" t="n">
        <x:v>3</x:v>
      </x:c>
      <x:c r="K2" s="12" t="n">
        <x:v>4</x:v>
      </x:c>
      <x:c r="L2" s="12" t="n">
        <x:v>5</x:v>
      </x:c>
      <x:c r="M2" s="12" t="n">
        <x:v>6</x:v>
      </x:c>
      <x:c r="N2" s="12" t="n">
        <x:v>7</x:v>
      </x:c>
      <x:c r="O2" s="12" t="n">
        <x:v>8</x:v>
      </x:c>
      <x:c r="P2" s="12" t="n">
        <x:v>9</x:v>
      </x:c>
      <x:c r="Q2" s="12" t="n">
        <x:v>10</x:v>
      </x:c>
      <x:c r="R2" s="12" t="n">
        <x:v>11</x:v>
      </x:c>
      <x:c r="S2" s="12" t="n">
        <x:v>12</x:v>
      </x:c>
    </x:row>
    <x:row r="3">
      <x:c r="A3" s="12"/>
      <x:c r="B3" s="12"/>
      <x:c r="C3" s="12"/>
      <x:c r="D3" s="12"/>
      <x:c r="E3" s="12"/>
      <x:c r="F3" s="13"/>
      <x:c r="G3" s="13"/>
      <x:c r="H3" s="12" t="str">
        <x:v>Día 1</x:v>
      </x:c>
      <x:c r="I3" s="12" t="str">
        <x:v>Día 2</x:v>
      </x:c>
      <x:c r="J3" s="12" t="str">
        <x:v>Día 3</x:v>
      </x:c>
      <x:c r="K3" s="12" t="str">
        <x:v>Día 4</x:v>
      </x:c>
      <x:c r="L3" s="12" t="str">
        <x:v>Día 5</x:v>
      </x:c>
      <x:c r="M3" s="12" t="str">
        <x:v>Día 6</x:v>
      </x:c>
      <x:c r="N3" s="12" t="str">
        <x:v>Día 7</x:v>
      </x:c>
      <x:c r="O3" s="12" t="str">
        <x:v>Día 8</x:v>
      </x:c>
      <x:c r="P3" s="12" t="str">
        <x:v>Día 9</x:v>
      </x:c>
      <x:c r="Q3" s="12" t="str">
        <x:v>Día 10</x:v>
      </x:c>
      <x:c r="R3" s="12" t="str">
        <x:v>Día 11</x:v>
      </x:c>
      <x:c r="S3" s="12" t="str">
        <x:v>Día 12</x:v>
      </x:c>
    </x:row>
    <x:row r="4">
      <x:c r="A4" s="57" t="str">
        <x:v>AVANCE ESPERADO DEL SPRINT 1  --&gt;</x:v>
      </x:c>
      <x:c r="B4" s="57"/>
      <x:c r="C4" s="57"/>
      <x:c r="D4" s="57"/>
      <x:c r="E4" s="57"/>
      <x:c r="F4" s="58" t="n">
        <x:f>SUM(F8:F10,F12:F14,F16:F18,F20:F22,F24:F26,F28:F30,F32:F34,F36:F38)</x:f>
        <x:v>40</x:v>
      </x:c>
      <x:c r="G4" s="58"/>
      <x:c r="H4" s="59" t="n">
        <x:f>$F$4-($F$4/$B$5)</x:f>
        <x:v>36.666666666666664</x:v>
      </x:c>
      <x:c r="I4" s="59" t="n">
        <x:f>MAX(0,H4-($F$4/$B$5))</x:f>
        <x:v>33.33333333333333</x:v>
      </x:c>
      <x:c r="J4" s="59" t="n">
        <x:f>MAX(0,I4-($F$4/$B$5))</x:f>
        <x:v>29.999999999999996</x:v>
      </x:c>
      <x:c r="K4" s="59" t="n">
        <x:f>MAX(0,J4-($F$4/$B$5))</x:f>
        <x:v>26.666666666666664</x:v>
      </x:c>
      <x:c r="L4" s="59" t="n">
        <x:f>MAX(0,K4-($F$4/$B$5))</x:f>
        <x:v>23.333333333333332</x:v>
      </x:c>
      <x:c r="M4" s="59" t="n">
        <x:f>MAX(0,L4-($F$4/$B$5))</x:f>
        <x:v>20</x:v>
      </x:c>
      <x:c r="N4" s="59" t="n">
        <x:f>MAX(0,M4-($F$4/$B$5))</x:f>
        <x:v>16.666666666666668</x:v>
      </x:c>
      <x:c r="O4" s="59" t="n">
        <x:f>MAX(0,N4-($F$4/$B$5))</x:f>
        <x:v>13.333333333333334</x:v>
      </x:c>
      <x:c r="P4" s="59" t="n">
        <x:f>MAX(0,O4-($F$4/$B$5))</x:f>
        <x:v>10</x:v>
      </x:c>
      <x:c r="Q4" s="59" t="n">
        <x:f>MAX(0,P4-($F$4/$B$5))</x:f>
        <x:v>6.666666666666666</x:v>
      </x:c>
      <x:c r="R4" s="59" t="n">
        <x:f>MAX(0,Q4-($F$4/$B$5))</x:f>
        <x:v>3.3333333333333326</x:v>
      </x:c>
      <x:c r="S4" s="59" t="n">
        <x:f>MAX(0,R4-($F$4/$B$5))</x:f>
        <x:v>0</x:v>
      </x:c>
    </x:row>
    <x:row r="5">
      <x:c r="A5" s="57"/>
      <x:c r="B5" s="57" t="n">
        <x:v>12</x:v>
      </x:c>
      <x:c r="C5" s="57" t="str">
        <x:v>&lt;-- Total días del SPRINT</x:v>
      </x:c>
      <x:c r="D5" s="57"/>
      <x:c r="E5" s="57"/>
      <x:c r="F5" s="58" t="str">
        <x:v>AVANCE REAL --&gt;</x:v>
      </x:c>
      <x:c r="G5" s="58" t="n">
        <x:f>SUM(G8:G10,G12:G14,G16:G18,G20:G22,G24:G26,G28:G30,G32:G34,G36:G38)</x:f>
        <x:v>40</x:v>
      </x:c>
      <x:c r="H5" s="59" t="n">
        <x:f>$G$5-H6</x:f>
        <x:v>37</x:v>
      </x:c>
      <x:c r="I5" s="59" t="n">
        <x:f>MAX(0,H5-I6)</x:f>
        <x:v>33.29</x:v>
      </x:c>
      <x:c r="J5" s="59" t="n">
        <x:f>MAX(0,I5-J6)</x:f>
        <x:v>30</x:v>
      </x:c>
      <x:c r="K5" s="59" t="n">
        <x:f>MAX(0,J5-K6)</x:f>
        <x:v>26.67</x:v>
      </x:c>
      <x:c r="L5" s="59" t="n">
        <x:f>MAX(0,K5-L6)</x:f>
        <x:v>23.67</x:v>
      </x:c>
      <x:c r="M5" s="59" t="n">
        <x:f>MAX(0,L5-M6)</x:f>
        <x:v>20</x:v>
      </x:c>
      <x:c r="N5" s="59" t="n">
        <x:f>MAX(0,M5-N6)</x:f>
        <x:v>16.33</x:v>
      </x:c>
      <x:c r="O5" s="59" t="n">
        <x:f>MAX(0,N5-O6)</x:f>
        <x:v>13.599999999999998</x:v>
      </x:c>
      <x:c r="P5" s="59" t="n">
        <x:f>MAX(0,O5-P6)</x:f>
        <x:v>9.499999999999998</x:v>
      </x:c>
      <x:c r="Q5" s="59" t="n">
        <x:f>MAX(0,P5-Q6)</x:f>
        <x:v>6.799999999999998</x:v>
      </x:c>
      <x:c r="R5" s="59" t="n">
        <x:f>MAX(0,Q5-R6)</x:f>
        <x:v>3.3299999999999983</x:v>
      </x:c>
      <x:c r="S5" s="59" t="n">
        <x:f>MAX(0,R5-S6)</x:f>
        <x:v>0</x:v>
      </x:c>
    </x:row>
    <x:row r="6">
      <x:c r="A6" s="57" t="str">
        <x:v>P-US REALIZADOS POR DÍA DEL SPRINT 1  --&gt;</x:v>
      </x:c>
      <x:c r="B6" s="57"/>
      <x:c r="C6" s="57"/>
      <x:c r="D6" s="57"/>
      <x:c r="E6" s="57"/>
      <x:c r="F6" s="57"/>
      <x:c r="G6" s="57"/>
      <x:c r="H6" s="59" t="n">
        <x:f>SUM(H8:H10,H12:H14,H16:H18,H20:H22,H24:H26,H28:H30,H32:H34,H36:H38)</x:f>
        <x:v>3</x:v>
      </x:c>
      <x:c r="I6" s="59" t="n">
        <x:f>SUM(I8:I10,I12:I14,I16:I18,I20:I22,I24:I26,I28:I30,I32:I34,I36:I38)</x:f>
        <x:v>3.71</x:v>
      </x:c>
      <x:c r="J6" s="59" t="n">
        <x:f>SUM(J8:J10,J12:J14,J16:J18,J20:J22,J24:J26,J28:J30,J32:J34,J36:J38)</x:f>
        <x:v>3.29</x:v>
      </x:c>
      <x:c r="K6" s="59" t="n">
        <x:f>SUM(K8:K10,K12:K14,K16:K18,K20:K22,K24:K26,K28:K30,K32:K34,K36:K38)</x:f>
        <x:v>3.33</x:v>
      </x:c>
      <x:c r="L6" s="59" t="n">
        <x:f>SUM(L8:L10,L12:L14,L16:L18,L20:L22,L24:L26,L28:L30,L32:L34,L36:L38)</x:f>
        <x:v>3</x:v>
      </x:c>
      <x:c r="M6" s="59" t="n">
        <x:f>SUM(M8:M10,M12:M14,M16:M18,M20:M22,M24:M26,M28:M30,M32:M34,M36:M38)</x:f>
        <x:v>3.67</x:v>
      </x:c>
      <x:c r="N6" s="59" t="n">
        <x:f>SUM(N8:N10,N12:N14,N16:N18,N20:N22,N24:N26,N28:N30,N32:N34,N36:N38)</x:f>
        <x:v>3.67</x:v>
      </x:c>
      <x:c r="O6" s="59" t="n">
        <x:f>SUM(O8:O10,O12:O14,O16:O18,O20:O22,O24:O26,O28:O30,O32:O34,O36:O38)</x:f>
        <x:v>2.73</x:v>
      </x:c>
      <x:c r="P6" s="59" t="n">
        <x:f>SUM(P8:P10,P12:P14,P16:P18,P20:P22,P24:P26,P28:P30,P32:P34,P36:P38)</x:f>
        <x:v>4.1</x:v>
      </x:c>
      <x:c r="Q6" s="59" t="n">
        <x:f>SUM(Q8:Q10,Q12:Q14,Q16:Q18,Q20:Q22,Q24:Q26,Q28:Q30,Q32:Q34,Q36:Q38)</x:f>
        <x:v>2.7</x:v>
      </x:c>
      <x:c r="R6" s="59" t="n">
        <x:f>SUM(R8:R10,R12:R14,R16:R18,R20:R22,R24:R26,R28:R30,R32:R34,R36:R38)</x:f>
        <x:v>3.4699999999999998</x:v>
      </x:c>
      <x:c r="S6" s="59" t="n">
        <x:f>SUM(S8:S10,S12:S14,S16:S18,S20:S22,S24:S26,S28:S30,S32:S34,S36:S38)</x:f>
        <x:v>3.33</x:v>
      </x:c>
    </x:row>
    <x:row r="7" ht="22.5" customHeight="1">
      <x:c r="A7" s="19" t="str">
        <x:v>HU-01</x:v>
      </x:c>
      <x:c r="B7" s="20" t="str"/>
      <x:c r="C7" s="20" t="str">
        <x:v>Configurar arquitectura full stack y entorno de trabajo</x:v>
      </x:c>
      <x:c r="D7" s="20" t="str">
        <x:v>David Ricardo Carvajal Barragán</x:v>
      </x:c>
      <x:c r="E7" s="20" t="str">
        <x:v>DONE</x:v>
      </x:c>
      <x:c r="F7" s="70" t="n">
        <x:f>SUM(F8:F10)</x:f>
        <x:v>3</x:v>
      </x:c>
      <x:c r="G7" s="70" t="n">
        <x:f>SUM(G8:G10)</x:f>
        <x:v>3</x:v>
      </x:c>
      <x:c r="H7" s="70" t="n">
        <x:f>SUM(H8:H10)</x:f>
        <x:v>3</x:v>
      </x:c>
      <x:c r="I7" s="70" t="n">
        <x:f>SUM(I8:I10)</x:f>
        <x:v>0</x:v>
      </x:c>
      <x:c r="J7" s="70" t="n">
        <x:f>SUM(J8:J10)</x:f>
        <x:v>0</x:v>
      </x:c>
      <x:c r="K7" s="70" t="n">
        <x:f>SUM(K8:K10)</x:f>
        <x:v>0</x:v>
      </x:c>
      <x:c r="L7" s="70" t="n">
        <x:f>SUM(L8:L10)</x:f>
        <x:v>0</x:v>
      </x:c>
      <x:c r="M7" s="70" t="n">
        <x:f>SUM(M8:M10)</x:f>
        <x:v>0</x:v>
      </x:c>
      <x:c r="N7" s="70" t="n">
        <x:f>SUM(N8:N10)</x:f>
        <x:v>0</x:v>
      </x:c>
      <x:c r="O7" s="70" t="n">
        <x:f>SUM(O8:O10)</x:f>
        <x:v>0</x:v>
      </x:c>
      <x:c r="P7" s="70" t="n">
        <x:f>SUM(P8:P10)</x:f>
        <x:v>0</x:v>
      </x:c>
      <x:c r="Q7" s="70" t="n">
        <x:f>SUM(Q8:Q10)</x:f>
        <x:v>0</x:v>
      </x:c>
      <x:c r="R7" s="70" t="n">
        <x:f>SUM(R8:R10)</x:f>
        <x:v>0</x:v>
      </x:c>
      <x:c r="S7" s="70" t="n">
        <x:f>SUM(S8:S10)</x:f>
        <x:v>0</x:v>
      </x:c>
    </x:row>
    <x:row r="8" ht="27" customHeight="1">
      <x:c r="A8" s="28" t="str"/>
      <x:c r="B8" s="28" t="str">
        <x:v>HU-01.01</x:v>
      </x:c>
      <x:c r="C8" s="29" t="str">
        <x:v>Estructurar el monorepo con cliente React y servidor Express</x:v>
      </x:c>
      <x:c r="D8" s="28" t="str">
        <x:v>David Ricardo Carvajal Barragán</x:v>
      </x:c>
      <x:c r="E8" s="30" t="str">
        <x:v>DONE</x:v>
      </x:c>
      <x:c r="F8" s="71" t="n">
        <x:v>1</x:v>
      </x:c>
      <x:c r="G8" s="71" t="n">
        <x:f>SUM(H8:S8)</x:f>
        <x:v>1</x:v>
      </x:c>
      <x:c r="H8" s="71" t="n">
        <x:v>1</x:v>
      </x:c>
      <x:c r="I8" s="71" t="n">
        <x:v>0</x:v>
      </x:c>
      <x:c r="J8" s="71" t="n">
        <x:v>0</x:v>
      </x:c>
      <x:c r="K8" s="71" t="n">
        <x:v>0</x:v>
      </x:c>
      <x:c r="L8" s="71" t="n">
        <x:v>0</x:v>
      </x:c>
      <x:c r="M8" s="71" t="n">
        <x:v>0</x:v>
      </x:c>
      <x:c r="N8" s="71" t="n">
        <x:v>0</x:v>
      </x:c>
      <x:c r="O8" s="71" t="n">
        <x:v>0</x:v>
      </x:c>
      <x:c r="P8" s="71" t="n">
        <x:v>0</x:v>
      </x:c>
      <x:c r="Q8" s="71" t="n">
        <x:v>0</x:v>
      </x:c>
      <x:c r="R8" s="71" t="n">
        <x:v>0</x:v>
      </x:c>
      <x:c r="S8" s="71" t="n">
        <x:v>0</x:v>
      </x:c>
    </x:row>
    <x:row r="9" ht="27" customHeight="1">
      <x:c r="A9" s="36" t="str"/>
      <x:c r="B9" s="36" t="str">
        <x:v>HU-01.02</x:v>
      </x:c>
      <x:c r="C9" s="37" t="str">
        <x:v>Configurar TypeScript estricto, Vite, Tailwind y ESLint en ambos proyectos</x:v>
      </x:c>
      <x:c r="D9" s="36" t="str">
        <x:v>Juan Pablo Arenas Avendaño</x:v>
      </x:c>
      <x:c r="E9" s="30" t="str">
        <x:v>DONE</x:v>
      </x:c>
      <x:c r="F9" s="72" t="n">
        <x:v>1</x:v>
      </x:c>
      <x:c r="G9" s="72" t="n">
        <x:f>SUM(H9:S9)</x:f>
        <x:v>1</x:v>
      </x:c>
      <x:c r="H9" s="72" t="n">
        <x:v>1</x:v>
      </x:c>
      <x:c r="I9" s="72" t="n">
        <x:v>0</x:v>
      </x:c>
      <x:c r="J9" s="72" t="n">
        <x:v>0</x:v>
      </x:c>
      <x:c r="K9" s="72" t="n">
        <x:v>0</x:v>
      </x:c>
      <x:c r="L9" s="72" t="n">
        <x:v>0</x:v>
      </x:c>
      <x:c r="M9" s="72" t="n">
        <x:v>0</x:v>
      </x:c>
      <x:c r="N9" s="72" t="n">
        <x:v>0</x:v>
      </x:c>
      <x:c r="O9" s="72" t="n">
        <x:v>0</x:v>
      </x:c>
      <x:c r="P9" s="72" t="n">
        <x:v>0</x:v>
      </x:c>
      <x:c r="Q9" s="72" t="n">
        <x:v>0</x:v>
      </x:c>
      <x:c r="R9" s="72" t="n">
        <x:v>0</x:v>
      </x:c>
      <x:c r="S9" s="72" t="n">
        <x:v>0</x:v>
      </x:c>
    </x:row>
    <x:row r="10" ht="27" customHeight="1">
      <x:c r="A10" s="28" t="str"/>
      <x:c r="B10" s="28" t="str">
        <x:v>HU-01.03</x:v>
      </x:c>
      <x:c r="C10" s="29" t="str">
        <x:v>Definir scripts raíz para desarrollo, pruebas, build y ejecución de producción</x:v>
      </x:c>
      <x:c r="D10" s="28" t="str">
        <x:v>David Ricardo Carvajal Barragán</x:v>
      </x:c>
      <x:c r="E10" s="30" t="str">
        <x:v>DONE</x:v>
      </x:c>
      <x:c r="F10" s="71" t="n">
        <x:v>1</x:v>
      </x:c>
      <x:c r="G10" s="71" t="n">
        <x:f>SUM(H10:S10)</x:f>
        <x:v>1</x:v>
      </x:c>
      <x:c r="H10" s="71" t="n">
        <x:v>1</x:v>
      </x:c>
      <x:c r="I10" s="71" t="n">
        <x:v>0</x:v>
      </x:c>
      <x:c r="J10" s="71" t="n">
        <x:v>0</x:v>
      </x:c>
      <x:c r="K10" s="71" t="n">
        <x:v>0</x:v>
      </x:c>
      <x:c r="L10" s="71" t="n">
        <x:v>0</x:v>
      </x:c>
      <x:c r="M10" s="71" t="n">
        <x:v>0</x:v>
      </x:c>
      <x:c r="N10" s="71" t="n">
        <x:v>0</x:v>
      </x:c>
      <x:c r="O10" s="71" t="n">
        <x:v>0</x:v>
      </x:c>
      <x:c r="P10" s="71" t="n">
        <x:v>0</x:v>
      </x:c>
      <x:c r="Q10" s="71" t="n">
        <x:v>0</x:v>
      </x:c>
      <x:c r="R10" s="71" t="n">
        <x:v>0</x:v>
      </x:c>
      <x:c r="S10" s="71" t="n">
        <x:v>0</x:v>
      </x:c>
    </x:row>
    <x:row r="11" ht="22.5" customHeight="1">
      <x:c r="A11" s="39" t="str">
        <x:v>HU-02</x:v>
      </x:c>
      <x:c r="B11" s="20" t="str"/>
      <x:c r="C11" s="20" t="str">
        <x:v>Exponer el catálogo tipado de PixelPets mediante una API REST</x:v>
      </x:c>
      <x:c r="D11" s="20" t="str">
        <x:v>Juan Pablo Arenas Avendaño</x:v>
      </x:c>
      <x:c r="E11" s="20" t="str">
        <x:v>DONE</x:v>
      </x:c>
      <x:c r="F11" s="70" t="n">
        <x:f>SUM(F12:F14)</x:f>
        <x:v>5</x:v>
      </x:c>
      <x:c r="G11" s="70" t="n">
        <x:f>SUM(G12:G14)</x:f>
        <x:v>5</x:v>
      </x:c>
      <x:c r="H11" s="70" t="n">
        <x:f>SUM(H12:H14)</x:f>
        <x:v>0</x:v>
      </x:c>
      <x:c r="I11" s="70" t="n">
        <x:f>SUM(I12:I14)</x:f>
        <x:v>3.71</x:v>
      </x:c>
      <x:c r="J11" s="70" t="n">
        <x:f>SUM(J12:J14)</x:f>
        <x:v>1.29</x:v>
      </x:c>
      <x:c r="K11" s="70" t="n">
        <x:f>SUM(K12:K14)</x:f>
        <x:v>0</x:v>
      </x:c>
      <x:c r="L11" s="70" t="n">
        <x:f>SUM(L12:L14)</x:f>
        <x:v>0</x:v>
      </x:c>
      <x:c r="M11" s="70" t="n">
        <x:f>SUM(M12:M14)</x:f>
        <x:v>0</x:v>
      </x:c>
      <x:c r="N11" s="70" t="n">
        <x:f>SUM(N12:N14)</x:f>
        <x:v>0</x:v>
      </x:c>
      <x:c r="O11" s="70" t="n">
        <x:f>SUM(O12:O14)</x:f>
        <x:v>0</x:v>
      </x:c>
      <x:c r="P11" s="70" t="n">
        <x:f>SUM(P12:P14)</x:f>
        <x:v>0</x:v>
      </x:c>
      <x:c r="Q11" s="70" t="n">
        <x:f>SUM(Q12:Q14)</x:f>
        <x:v>0</x:v>
      </x:c>
      <x:c r="R11" s="70" t="n">
        <x:f>SUM(R12:R14)</x:f>
        <x:v>0</x:v>
      </x:c>
      <x:c r="S11" s="70" t="n">
        <x:f>SUM(S12:S14)</x:f>
        <x:v>0</x:v>
      </x:c>
    </x:row>
    <x:row r="12" ht="27" customHeight="1">
      <x:c r="A12" s="28" t="str"/>
      <x:c r="B12" s="28" t="str">
        <x:v>HU-02.01</x:v>
      </x:c>
      <x:c r="C12" s="29" t="str">
        <x:v>Definir tipos de dominio y crear el catálogo local validado de 18 mascotas</x:v>
      </x:c>
      <x:c r="D12" s="28" t="str">
        <x:v>Juan Pablo Arenas Avendaño</x:v>
      </x:c>
      <x:c r="E12" s="30" t="str">
        <x:v>DONE</x:v>
      </x:c>
      <x:c r="F12" s="71" t="n">
        <x:v>2</x:v>
      </x:c>
      <x:c r="G12" s="71" t="n">
        <x:f>SUM(H12:S12)</x:f>
        <x:v>2</x:v>
      </x:c>
      <x:c r="H12" s="71" t="n">
        <x:v>0</x:v>
      </x:c>
      <x:c r="I12" s="71" t="n">
        <x:v>2</x:v>
      </x:c>
      <x:c r="J12" s="71" t="n">
        <x:v>0</x:v>
      </x:c>
      <x:c r="K12" s="71" t="n">
        <x:v>0</x:v>
      </x:c>
      <x:c r="L12" s="71" t="n">
        <x:v>0</x:v>
      </x:c>
      <x:c r="M12" s="71" t="n">
        <x:v>0</x:v>
      </x:c>
      <x:c r="N12" s="71" t="n">
        <x:v>0</x:v>
      </x:c>
      <x:c r="O12" s="71" t="n">
        <x:v>0</x:v>
      </x:c>
      <x:c r="P12" s="71" t="n">
        <x:v>0</x:v>
      </x:c>
      <x:c r="Q12" s="71" t="n">
        <x:v>0</x:v>
      </x:c>
      <x:c r="R12" s="71" t="n">
        <x:v>0</x:v>
      </x:c>
      <x:c r="S12" s="71" t="n">
        <x:v>0</x:v>
      </x:c>
    </x:row>
    <x:row r="13" ht="27" customHeight="1">
      <x:c r="A13" s="36" t="str"/>
      <x:c r="B13" s="36" t="str">
        <x:v>HU-02.02</x:v>
      </x:c>
      <x:c r="C13" s="37" t="str">
        <x:v>Implementar servicio de catálogo sin mutar los datos originales</x:v>
      </x:c>
      <x:c r="D13" s="36" t="str">
        <x:v>David Ricardo Carvajal Barragán</x:v>
      </x:c>
      <x:c r="E13" s="30" t="str">
        <x:v>DONE</x:v>
      </x:c>
      <x:c r="F13" s="72" t="n">
        <x:v>2</x:v>
      </x:c>
      <x:c r="G13" s="72" t="n">
        <x:f>SUM(H13:S13)</x:f>
        <x:v>2</x:v>
      </x:c>
      <x:c r="H13" s="72" t="n">
        <x:v>0</x:v>
      </x:c>
      <x:c r="I13" s="72" t="n">
        <x:v>1.71</x:v>
      </x:c>
      <x:c r="J13" s="72" t="n">
        <x:v>0.29</x:v>
      </x:c>
      <x:c r="K13" s="72" t="n">
        <x:v>0</x:v>
      </x:c>
      <x:c r="L13" s="72" t="n">
        <x:v>0</x:v>
      </x:c>
      <x:c r="M13" s="72" t="n">
        <x:v>0</x:v>
      </x:c>
      <x:c r="N13" s="72" t="n">
        <x:v>0</x:v>
      </x:c>
      <x:c r="O13" s="72" t="n">
        <x:v>0</x:v>
      </x:c>
      <x:c r="P13" s="72" t="n">
        <x:v>0</x:v>
      </x:c>
      <x:c r="Q13" s="72" t="n">
        <x:v>0</x:v>
      </x:c>
      <x:c r="R13" s="72" t="n">
        <x:v>0</x:v>
      </x:c>
      <x:c r="S13" s="72" t="n">
        <x:v>0</x:v>
      </x:c>
    </x:row>
    <x:row r="14" ht="27" customHeight="1">
      <x:c r="A14" s="28" t="str"/>
      <x:c r="B14" s="28" t="str">
        <x:v>HU-02.03</x:v>
      </x:c>
      <x:c r="C14" s="29" t="str">
        <x:v>Crear endpoints de salud, consulta y opciones con respuestas consistentes</x:v>
      </x:c>
      <x:c r="D14" s="28" t="str">
        <x:v>Juan Pablo Arenas Avendaño</x:v>
      </x:c>
      <x:c r="E14" s="30" t="str">
        <x:v>DONE</x:v>
      </x:c>
      <x:c r="F14" s="71" t="n">
        <x:v>1</x:v>
      </x:c>
      <x:c r="G14" s="71" t="n">
        <x:f>SUM(H14:S14)</x:f>
        <x:v>1</x:v>
      </x:c>
      <x:c r="H14" s="71" t="n">
        <x:v>0</x:v>
      </x:c>
      <x:c r="I14" s="71" t="n">
        <x:v>0</x:v>
      </x:c>
      <x:c r="J14" s="71" t="n">
        <x:v>1</x:v>
      </x:c>
      <x:c r="K14" s="71" t="n">
        <x:v>0</x:v>
      </x:c>
      <x:c r="L14" s="71" t="n">
        <x:v>0</x:v>
      </x:c>
      <x:c r="M14" s="71" t="n">
        <x:v>0</x:v>
      </x:c>
      <x:c r="N14" s="71" t="n">
        <x:v>0</x:v>
      </x:c>
      <x:c r="O14" s="71" t="n">
        <x:v>0</x:v>
      </x:c>
      <x:c r="P14" s="71" t="n">
        <x:v>0</x:v>
      </x:c>
      <x:c r="Q14" s="71" t="n">
        <x:v>0</x:v>
      </x:c>
      <x:c r="R14" s="71" t="n">
        <x:v>0</x:v>
      </x:c>
      <x:c r="S14" s="71" t="n">
        <x:v>0</x:v>
      </x:c>
    </x:row>
    <x:row r="15" ht="22.5" customHeight="1">
      <x:c r="A15" s="41" t="str">
        <x:v>HU-03</x:v>
      </x:c>
      <x:c r="B15" s="20" t="str"/>
      <x:c r="C15" s="20" t="str">
        <x:v>Buscar mascotas por nombre de forma tolerante</x:v>
      </x:c>
      <x:c r="D15" s="20" t="str">
        <x:v>David Ricardo Carvajal Barragán</x:v>
      </x:c>
      <x:c r="E15" s="20" t="str">
        <x:v>DONE</x:v>
      </x:c>
      <x:c r="F15" s="70" t="n">
        <x:f>SUM(F16:F18)</x:f>
        <x:v>5</x:v>
      </x:c>
      <x:c r="G15" s="70" t="n">
        <x:f>SUM(G16:G18)</x:f>
        <x:v>5</x:v>
      </x:c>
      <x:c r="H15" s="70" t="n">
        <x:f>SUM(H16:H18)</x:f>
        <x:v>0</x:v>
      </x:c>
      <x:c r="I15" s="70" t="n">
        <x:f>SUM(I16:I18)</x:f>
        <x:v>0</x:v>
      </x:c>
      <x:c r="J15" s="70" t="n">
        <x:f>SUM(J16:J18)</x:f>
        <x:v>2</x:v>
      </x:c>
      <x:c r="K15" s="70" t="n">
        <x:f>SUM(K16:K18)</x:f>
        <x:v>3</x:v>
      </x:c>
      <x:c r="L15" s="70" t="n">
        <x:f>SUM(L16:L18)</x:f>
        <x:v>0</x:v>
      </x:c>
      <x:c r="M15" s="70" t="n">
        <x:f>SUM(M16:M18)</x:f>
        <x:v>0</x:v>
      </x:c>
      <x:c r="N15" s="70" t="n">
        <x:f>SUM(N16:N18)</x:f>
        <x:v>0</x:v>
      </x:c>
      <x:c r="O15" s="70" t="n">
        <x:f>SUM(O16:O18)</x:f>
        <x:v>0</x:v>
      </x:c>
      <x:c r="P15" s="70" t="n">
        <x:f>SUM(P16:P18)</x:f>
        <x:v>0</x:v>
      </x:c>
      <x:c r="Q15" s="70" t="n">
        <x:f>SUM(Q16:Q18)</x:f>
        <x:v>0</x:v>
      </x:c>
      <x:c r="R15" s="70" t="n">
        <x:f>SUM(R16:R18)</x:f>
        <x:v>0</x:v>
      </x:c>
      <x:c r="S15" s="70" t="n">
        <x:f>SUM(S16:S18)</x:f>
        <x:v>0</x:v>
      </x:c>
    </x:row>
    <x:row r="16" ht="27" customHeight="1">
      <x:c r="A16" s="28" t="str"/>
      <x:c r="B16" s="28" t="str">
        <x:v>HU-03.01</x:v>
      </x:c>
      <x:c r="C16" s="29" t="str">
        <x:v>Validar parámetros y normalizar búsquedas sin distinguir mayúsculas ni tildes</x:v>
      </x:c>
      <x:c r="D16" s="28" t="str">
        <x:v>David Ricardo Carvajal Barragán</x:v>
      </x:c>
      <x:c r="E16" s="30" t="str">
        <x:v>DONE</x:v>
      </x:c>
      <x:c r="F16" s="71" t="n">
        <x:v>2</x:v>
      </x:c>
      <x:c r="G16" s="71" t="n">
        <x:f>SUM(H16:S16)</x:f>
        <x:v>2</x:v>
      </x:c>
      <x:c r="H16" s="71" t="n">
        <x:v>0</x:v>
      </x:c>
      <x:c r="I16" s="71" t="n">
        <x:v>0</x:v>
      </x:c>
      <x:c r="J16" s="71" t="n">
        <x:v>2</x:v>
      </x:c>
      <x:c r="K16" s="71" t="n">
        <x:v>0</x:v>
      </x:c>
      <x:c r="L16" s="71" t="n">
        <x:v>0</x:v>
      </x:c>
      <x:c r="M16" s="71" t="n">
        <x:v>0</x:v>
      </x:c>
      <x:c r="N16" s="71" t="n">
        <x:v>0</x:v>
      </x:c>
      <x:c r="O16" s="71" t="n">
        <x:v>0</x:v>
      </x:c>
      <x:c r="P16" s="71" t="n">
        <x:v>0</x:v>
      </x:c>
      <x:c r="Q16" s="71" t="n">
        <x:v>0</x:v>
      </x:c>
      <x:c r="R16" s="71" t="n">
        <x:v>0</x:v>
      </x:c>
      <x:c r="S16" s="71" t="n">
        <x:v>0</x:v>
      </x:c>
    </x:row>
    <x:row r="17" ht="27" customHeight="1">
      <x:c r="A17" s="36" t="str"/>
      <x:c r="B17" s="36" t="str">
        <x:v>HU-03.02</x:v>
      </x:c>
      <x:c r="C17" s="37" t="str">
        <x:v>Consumir la API con debounce de 300 ms y cancelación de solicitudes obsoletas</x:v>
      </x:c>
      <x:c r="D17" s="36" t="str">
        <x:v>Juan Pablo Arenas Avendaño</x:v>
      </x:c>
      <x:c r="E17" s="30" t="str">
        <x:v>DONE</x:v>
      </x:c>
      <x:c r="F17" s="72" t="n">
        <x:v>2</x:v>
      </x:c>
      <x:c r="G17" s="72" t="n">
        <x:f>SUM(H17:S17)</x:f>
        <x:v>2</x:v>
      </x:c>
      <x:c r="H17" s="72" t="n">
        <x:v>0</x:v>
      </x:c>
      <x:c r="I17" s="72" t="n">
        <x:v>0</x:v>
      </x:c>
      <x:c r="J17" s="72" t="n">
        <x:v>0</x:v>
      </x:c>
      <x:c r="K17" s="72" t="n">
        <x:v>2</x:v>
      </x:c>
      <x:c r="L17" s="72" t="n">
        <x:v>0</x:v>
      </x:c>
      <x:c r="M17" s="72" t="n">
        <x:v>0</x:v>
      </x:c>
      <x:c r="N17" s="72" t="n">
        <x:v>0</x:v>
      </x:c>
      <x:c r="O17" s="72" t="n">
        <x:v>0</x:v>
      </x:c>
      <x:c r="P17" s="72" t="n">
        <x:v>0</x:v>
      </x:c>
      <x:c r="Q17" s="72" t="n">
        <x:v>0</x:v>
      </x:c>
      <x:c r="R17" s="72" t="n">
        <x:v>0</x:v>
      </x:c>
      <x:c r="S17" s="72" t="n">
        <x:v>0</x:v>
      </x:c>
    </x:row>
    <x:row r="18" ht="27" customHeight="1">
      <x:c r="A18" s="28" t="str"/>
      <x:c r="B18" s="28" t="str">
        <x:v>HU-03.03</x:v>
      </x:c>
      <x:c r="C18" s="29" t="str">
        <x:v>Verificar búsquedas exactas, parciales, vacías y con espacios externos</x:v>
      </x:c>
      <x:c r="D18" s="28" t="str">
        <x:v>David Ricardo Carvajal Barragán</x:v>
      </x:c>
      <x:c r="E18" s="30" t="str">
        <x:v>DONE</x:v>
      </x:c>
      <x:c r="F18" s="71" t="n">
        <x:v>1</x:v>
      </x:c>
      <x:c r="G18" s="71" t="n">
        <x:f>SUM(H18:S18)</x:f>
        <x:v>1</x:v>
      </x:c>
      <x:c r="H18" s="71" t="n">
        <x:v>0</x:v>
      </x:c>
      <x:c r="I18" s="71" t="n">
        <x:v>0</x:v>
      </x:c>
      <x:c r="J18" s="71" t="n">
        <x:v>0</x:v>
      </x:c>
      <x:c r="K18" s="71" t="n">
        <x:v>1</x:v>
      </x:c>
      <x:c r="L18" s="71" t="n">
        <x:v>0</x:v>
      </x:c>
      <x:c r="M18" s="71" t="n">
        <x:v>0</x:v>
      </x:c>
      <x:c r="N18" s="71" t="n">
        <x:v>0</x:v>
      </x:c>
      <x:c r="O18" s="71" t="n">
        <x:v>0</x:v>
      </x:c>
      <x:c r="P18" s="71" t="n">
        <x:v>0</x:v>
      </x:c>
      <x:c r="Q18" s="71" t="n">
        <x:v>0</x:v>
      </x:c>
      <x:c r="R18" s="71" t="n">
        <x:v>0</x:v>
      </x:c>
      <x:c r="S18" s="71" t="n">
        <x:v>0</x:v>
      </x:c>
    </x:row>
    <x:row r="19" ht="22.5" customHeight="1">
      <x:c r="A19" s="43" t="str">
        <x:v>HU-04</x:v>
      </x:c>
      <x:c r="B19" s="20" t="str"/>
      <x:c r="C19" s="20" t="str">
        <x:v>Filtrar mascotas por especie y rareza</x:v>
      </x:c>
      <x:c r="D19" s="20" t="str">
        <x:v>Juan Pablo Arenas Avendaño</x:v>
      </x:c>
      <x:c r="E19" s="20" t="str">
        <x:v>DONE</x:v>
      </x:c>
      <x:c r="F19" s="70" t="n">
        <x:f>SUM(F20:F22)</x:f>
        <x:v>5</x:v>
      </x:c>
      <x:c r="G19" s="70" t="n">
        <x:f>SUM(G20:G22)</x:f>
        <x:v>5</x:v>
      </x:c>
      <x:c r="H19" s="70" t="n">
        <x:f>SUM(H20:H22)</x:f>
        <x:v>0</x:v>
      </x:c>
      <x:c r="I19" s="70" t="n">
        <x:f>SUM(I20:I22)</x:f>
        <x:v>0</x:v>
      </x:c>
      <x:c r="J19" s="70" t="n">
        <x:f>SUM(J20:J22)</x:f>
        <x:v>0</x:v>
      </x:c>
      <x:c r="K19" s="70" t="n">
        <x:f>SUM(K20:K22)</x:f>
        <x:v>0.33</x:v>
      </x:c>
      <x:c r="L19" s="70" t="n">
        <x:f>SUM(L20:L22)</x:f>
        <x:v>3</x:v>
      </x:c>
      <x:c r="M19" s="70" t="n">
        <x:f>SUM(M20:M22)</x:f>
        <x:v>1.67</x:v>
      </x:c>
      <x:c r="N19" s="70" t="n">
        <x:f>SUM(N20:N22)</x:f>
        <x:v>0</x:v>
      </x:c>
      <x:c r="O19" s="70" t="n">
        <x:f>SUM(O20:O22)</x:f>
        <x:v>0</x:v>
      </x:c>
      <x:c r="P19" s="70" t="n">
        <x:f>SUM(P20:P22)</x:f>
        <x:v>0</x:v>
      </x:c>
      <x:c r="Q19" s="70" t="n">
        <x:f>SUM(Q20:Q22)</x:f>
        <x:v>0</x:v>
      </x:c>
      <x:c r="R19" s="70" t="n">
        <x:f>SUM(R20:R22)</x:f>
        <x:v>0</x:v>
      </x:c>
      <x:c r="S19" s="70" t="n">
        <x:f>SUM(S20:S22)</x:f>
        <x:v>0</x:v>
      </x:c>
    </x:row>
    <x:row r="20" ht="27" customHeight="1">
      <x:c r="A20" s="28" t="str"/>
      <x:c r="B20" s="28" t="str">
        <x:v>HU-04.01</x:v>
      </x:c>
      <x:c r="C20" s="29" t="str">
        <x:v>Construir selectores dinámicos con opciones obtenidas desde el backend</x:v>
      </x:c>
      <x:c r="D20" s="28" t="str">
        <x:v>Juan Pablo Arenas Avendaño</x:v>
      </x:c>
      <x:c r="E20" s="30" t="str">
        <x:v>DONE</x:v>
      </x:c>
      <x:c r="F20" s="71" t="n">
        <x:v>2</x:v>
      </x:c>
      <x:c r="G20" s="71" t="n">
        <x:f>SUM(H20:S20)</x:f>
        <x:v>2</x:v>
      </x:c>
      <x:c r="H20" s="71" t="n">
        <x:v>0</x:v>
      </x:c>
      <x:c r="I20" s="71" t="n">
        <x:v>0</x:v>
      </x:c>
      <x:c r="J20" s="71" t="n">
        <x:v>0</x:v>
      </x:c>
      <x:c r="K20" s="71" t="n">
        <x:v>0.33</x:v>
      </x:c>
      <x:c r="L20" s="71" t="n">
        <x:v>1.67</x:v>
      </x:c>
      <x:c r="M20" s="71" t="n">
        <x:v>0</x:v>
      </x:c>
      <x:c r="N20" s="71" t="n">
        <x:v>0</x:v>
      </x:c>
      <x:c r="O20" s="71" t="n">
        <x:v>0</x:v>
      </x:c>
      <x:c r="P20" s="71" t="n">
        <x:v>0</x:v>
      </x:c>
      <x:c r="Q20" s="71" t="n">
        <x:v>0</x:v>
      </x:c>
      <x:c r="R20" s="71" t="n">
        <x:v>0</x:v>
      </x:c>
      <x:c r="S20" s="71" t="n">
        <x:v>0</x:v>
      </x:c>
    </x:row>
    <x:row r="21" ht="27" customHeight="1">
      <x:c r="A21" s="36" t="str"/>
      <x:c r="B21" s="36" t="str">
        <x:v>HU-04.02</x:v>
      </x:c>
      <x:c r="C21" s="37" t="str">
        <x:v>Aplicar filtros combinables de especie y rareza junto con la búsqueda</x:v>
      </x:c>
      <x:c r="D21" s="36" t="str">
        <x:v>David Ricardo Carvajal Barragán</x:v>
      </x:c>
      <x:c r="E21" s="30" t="str">
        <x:v>DONE</x:v>
      </x:c>
      <x:c r="F21" s="72" t="n">
        <x:v>2</x:v>
      </x:c>
      <x:c r="G21" s="72" t="n">
        <x:f>SUM(H21:S21)</x:f>
        <x:v>2</x:v>
      </x:c>
      <x:c r="H21" s="72" t="n">
        <x:v>0</x:v>
      </x:c>
      <x:c r="I21" s="72" t="n">
        <x:v>0</x:v>
      </x:c>
      <x:c r="J21" s="72" t="n">
        <x:v>0</x:v>
      </x:c>
      <x:c r="K21" s="72" t="n">
        <x:v>0</x:v>
      </x:c>
      <x:c r="L21" s="72" t="n">
        <x:v>1.33</x:v>
      </x:c>
      <x:c r="M21" s="72" t="n">
        <x:v>0.67</x:v>
      </x:c>
      <x:c r="N21" s="72" t="n">
        <x:v>0</x:v>
      </x:c>
      <x:c r="O21" s="72" t="n">
        <x:v>0</x:v>
      </x:c>
      <x:c r="P21" s="72" t="n">
        <x:v>0</x:v>
      </x:c>
      <x:c r="Q21" s="72" t="n">
        <x:v>0</x:v>
      </x:c>
      <x:c r="R21" s="72" t="n">
        <x:v>0</x:v>
      </x:c>
      <x:c r="S21" s="72" t="n">
        <x:v>0</x:v>
      </x:c>
    </x:row>
    <x:row r="22" ht="27" customHeight="1">
      <x:c r="A22" s="28" t="str"/>
      <x:c r="B22" s="28" t="str">
        <x:v>HU-04.03</x:v>
      </x:c>
      <x:c r="C22" s="29" t="str">
        <x:v>Implementar limpieza de filtros y estado vacío con acción de recuperación</x:v>
      </x:c>
      <x:c r="D22" s="28" t="str">
        <x:v>Juan Pablo Arenas Avendaño</x:v>
      </x:c>
      <x:c r="E22" s="30" t="str">
        <x:v>DONE</x:v>
      </x:c>
      <x:c r="F22" s="71" t="n">
        <x:v>1</x:v>
      </x:c>
      <x:c r="G22" s="71" t="n">
        <x:f>SUM(H22:S22)</x:f>
        <x:v>1</x:v>
      </x:c>
      <x:c r="H22" s="71" t="n">
        <x:v>0</x:v>
      </x:c>
      <x:c r="I22" s="71" t="n">
        <x:v>0</x:v>
      </x:c>
      <x:c r="J22" s="71" t="n">
        <x:v>0</x:v>
      </x:c>
      <x:c r="K22" s="71" t="n">
        <x:v>0</x:v>
      </x:c>
      <x:c r="L22" s="71" t="n">
        <x:v>0</x:v>
      </x:c>
      <x:c r="M22" s="71" t="n">
        <x:v>1</x:v>
      </x:c>
      <x:c r="N22" s="71" t="n">
        <x:v>0</x:v>
      </x:c>
      <x:c r="O22" s="71" t="n">
        <x:v>0</x:v>
      </x:c>
      <x:c r="P22" s="71" t="n">
        <x:v>0</x:v>
      </x:c>
      <x:c r="Q22" s="71" t="n">
        <x:v>0</x:v>
      </x:c>
      <x:c r="R22" s="71" t="n">
        <x:v>0</x:v>
      </x:c>
      <x:c r="S22" s="71" t="n">
        <x:v>0</x:v>
      </x:c>
    </x:row>
    <x:row r="23" ht="22.5" customHeight="1">
      <x:c r="A23" s="45" t="str">
        <x:v>HU-05</x:v>
      </x:c>
      <x:c r="B23" s="20" t="str"/>
      <x:c r="C23" s="20" t="str">
        <x:v>Ordenar por precio y restablecer el catálogo</x:v>
      </x:c>
      <x:c r="D23" s="20" t="str">
        <x:v>David Ricardo Carvajal Barragán</x:v>
      </x:c>
      <x:c r="E23" s="20" t="str">
        <x:v>DONE</x:v>
      </x:c>
      <x:c r="F23" s="70" t="n">
        <x:f>SUM(F24:F26)</x:f>
        <x:v>3</x:v>
      </x:c>
      <x:c r="G23" s="70" t="n">
        <x:f>SUM(G24:G26)</x:f>
        <x:v>3</x:v>
      </x:c>
      <x:c r="H23" s="70" t="n">
        <x:f>SUM(H24:H26)</x:f>
        <x:v>0</x:v>
      </x:c>
      <x:c r="I23" s="70" t="n">
        <x:f>SUM(I24:I26)</x:f>
        <x:v>0</x:v>
      </x:c>
      <x:c r="J23" s="70" t="n">
        <x:f>SUM(J24:J26)</x:f>
        <x:v>0</x:v>
      </x:c>
      <x:c r="K23" s="70" t="n">
        <x:f>SUM(K24:K26)</x:f>
        <x:v>0</x:v>
      </x:c>
      <x:c r="L23" s="70" t="n">
        <x:f>SUM(L24:L26)</x:f>
        <x:v>0</x:v>
      </x:c>
      <x:c r="M23" s="70" t="n">
        <x:f>SUM(M24:M26)</x:f>
        <x:v>2</x:v>
      </x:c>
      <x:c r="N23" s="70" t="n">
        <x:f>SUM(N24:N26)</x:f>
        <x:v>1</x:v>
      </x:c>
      <x:c r="O23" s="70" t="n">
        <x:f>SUM(O24:O26)</x:f>
        <x:v>0</x:v>
      </x:c>
      <x:c r="P23" s="70" t="n">
        <x:f>SUM(P24:P26)</x:f>
        <x:v>0</x:v>
      </x:c>
      <x:c r="Q23" s="70" t="n">
        <x:f>SUM(Q24:Q26)</x:f>
        <x:v>0</x:v>
      </x:c>
      <x:c r="R23" s="70" t="n">
        <x:f>SUM(R24:R26)</x:f>
        <x:v>0</x:v>
      </x:c>
      <x:c r="S23" s="70" t="n">
        <x:f>SUM(S24:S26)</x:f>
        <x:v>0</x:v>
      </x:c>
    </x:row>
    <x:row r="24" ht="27" customHeight="1">
      <x:c r="A24" s="28" t="str"/>
      <x:c r="B24" s="28" t="str">
        <x:v>HU-05.01</x:v>
      </x:c>
      <x:c r="C24" s="29" t="str">
        <x:v>Implementar ordenamiento estable por precio ascendente y descendente</x:v>
      </x:c>
      <x:c r="D24" s="28" t="str">
        <x:v>David Ricardo Carvajal Barragán</x:v>
      </x:c>
      <x:c r="E24" s="30" t="str">
        <x:v>DONE</x:v>
      </x:c>
      <x:c r="F24" s="71" t="n">
        <x:v>1</x:v>
      </x:c>
      <x:c r="G24" s="71" t="n">
        <x:f>SUM(H24:S24)</x:f>
        <x:v>1</x:v>
      </x:c>
      <x:c r="H24" s="71" t="n">
        <x:v>0</x:v>
      </x:c>
      <x:c r="I24" s="71" t="n">
        <x:v>0</x:v>
      </x:c>
      <x:c r="J24" s="71" t="n">
        <x:v>0</x:v>
      </x:c>
      <x:c r="K24" s="71" t="n">
        <x:v>0</x:v>
      </x:c>
      <x:c r="L24" s="71" t="n">
        <x:v>0</x:v>
      </x:c>
      <x:c r="M24" s="71" t="n">
        <x:v>1</x:v>
      </x:c>
      <x:c r="N24" s="71" t="n">
        <x:v>0</x:v>
      </x:c>
      <x:c r="O24" s="71" t="n">
        <x:v>0</x:v>
      </x:c>
      <x:c r="P24" s="71" t="n">
        <x:v>0</x:v>
      </x:c>
      <x:c r="Q24" s="71" t="n">
        <x:v>0</x:v>
      </x:c>
      <x:c r="R24" s="71" t="n">
        <x:v>0</x:v>
      </x:c>
      <x:c r="S24" s="71" t="n">
        <x:v>0</x:v>
      </x:c>
    </x:row>
    <x:row r="25" ht="27" customHeight="1">
      <x:c r="A25" s="36" t="str"/>
      <x:c r="B25" s="36" t="str">
        <x:v>HU-05.02</x:v>
      </x:c>
      <x:c r="C25" s="37" t="str">
        <x:v>Agregar selector de orden, contador de resultados y botón Limpiar</x:v>
      </x:c>
      <x:c r="D25" s="36" t="str">
        <x:v>Juan Pablo Arenas Avendaño</x:v>
      </x:c>
      <x:c r="E25" s="30" t="str">
        <x:v>DONE</x:v>
      </x:c>
      <x:c r="F25" s="72" t="n">
        <x:v>1</x:v>
      </x:c>
      <x:c r="G25" s="72" t="n">
        <x:f>SUM(H25:S25)</x:f>
        <x:v>1</x:v>
      </x:c>
      <x:c r="H25" s="72" t="n">
        <x:v>0</x:v>
      </x:c>
      <x:c r="I25" s="72" t="n">
        <x:v>0</x:v>
      </x:c>
      <x:c r="J25" s="72" t="n">
        <x:v>0</x:v>
      </x:c>
      <x:c r="K25" s="72" t="n">
        <x:v>0</x:v>
      </x:c>
      <x:c r="L25" s="72" t="n">
        <x:v>0</x:v>
      </x:c>
      <x:c r="M25" s="72" t="n">
        <x:v>1</x:v>
      </x:c>
      <x:c r="N25" s="72" t="n">
        <x:v>0</x:v>
      </x:c>
      <x:c r="O25" s="72" t="n">
        <x:v>0</x:v>
      </x:c>
      <x:c r="P25" s="72" t="n">
        <x:v>0</x:v>
      </x:c>
      <x:c r="Q25" s="72" t="n">
        <x:v>0</x:v>
      </x:c>
      <x:c r="R25" s="72" t="n">
        <x:v>0</x:v>
      </x:c>
      <x:c r="S25" s="72" t="n">
        <x:v>0</x:v>
      </x:c>
      <x:c r="U25" s="65" t="str">
        <x:v>Día</x:v>
      </x:c>
      <x:c r="V25" s="65" t="str">
        <x:v>Avance esperado</x:v>
      </x:c>
      <x:c r="W25" s="65" t="str">
        <x:v>Avance real</x:v>
      </x:c>
    </x:row>
    <x:row r="26" ht="27" customHeight="1">
      <x:c r="A26" s="28" t="str"/>
      <x:c r="B26" s="28" t="str">
        <x:v>HU-05.03</x:v>
      </x:c>
      <x:c r="C26" s="29" t="str">
        <x:v>Probar búsqueda, filtros y ordenamiento funcionando conjuntamente</x:v>
      </x:c>
      <x:c r="D26" s="28" t="str">
        <x:v>David Ricardo Carvajal Barragán</x:v>
      </x:c>
      <x:c r="E26" s="30" t="str">
        <x:v>DONE</x:v>
      </x:c>
      <x:c r="F26" s="71" t="n">
        <x:v>1</x:v>
      </x:c>
      <x:c r="G26" s="71" t="n">
        <x:f>SUM(H26:S26)</x:f>
        <x:v>1</x:v>
      </x:c>
      <x:c r="H26" s="71" t="n">
        <x:v>0</x:v>
      </x:c>
      <x:c r="I26" s="71" t="n">
        <x:v>0</x:v>
      </x:c>
      <x:c r="J26" s="71" t="n">
        <x:v>0</x:v>
      </x:c>
      <x:c r="K26" s="71" t="n">
        <x:v>0</x:v>
      </x:c>
      <x:c r="L26" s="71" t="n">
        <x:v>0</x:v>
      </x:c>
      <x:c r="M26" s="71" t="n">
        <x:v>0</x:v>
      </x:c>
      <x:c r="N26" s="71" t="n">
        <x:v>1</x:v>
      </x:c>
      <x:c r="O26" s="71" t="n">
        <x:v>0</x:v>
      </x:c>
      <x:c r="P26" s="71" t="n">
        <x:v>0</x:v>
      </x:c>
      <x:c r="Q26" s="71" t="n">
        <x:v>0</x:v>
      </x:c>
      <x:c r="R26" s="71" t="n">
        <x:v>0</x:v>
      </x:c>
      <x:c r="S26" s="71" t="n">
        <x:v>0</x:v>
      </x:c>
      <x:c r="U26" s="68" t="str">
        <x:v>Día 0</x:v>
      </x:c>
      <x:c r="V26" s="69" t="n">
        <x:f>$F$4</x:f>
        <x:v>40</x:v>
      </x:c>
      <x:c r="W26" s="69" t="n">
        <x:f>$G$5</x:f>
        <x:v>40</x:v>
      </x:c>
    </x:row>
    <x:row r="27" ht="22.5" customHeight="1">
      <x:c r="A27" s="47" t="str">
        <x:v>HU-06</x:v>
      </x:c>
      <x:c r="B27" s="20" t="str"/>
      <x:c r="C27" s="20" t="str">
        <x:v>Consultar el catálogo en una interfaz responsive y accesible</x:v>
      </x:c>
      <x:c r="D27" s="20" t="str">
        <x:v>Juan Pablo Arenas Avendaño</x:v>
      </x:c>
      <x:c r="E27" s="20" t="str">
        <x:v>DONE</x:v>
      </x:c>
      <x:c r="F27" s="70" t="n">
        <x:f>SUM(F28:F30)</x:f>
        <x:v>8</x:v>
      </x:c>
      <x:c r="G27" s="70" t="n">
        <x:f>SUM(G28:G30)</x:f>
        <x:v>8</x:v>
      </x:c>
      <x:c r="H27" s="70" t="n">
        <x:f>SUM(H28:H30)</x:f>
        <x:v>0</x:v>
      </x:c>
      <x:c r="I27" s="70" t="n">
        <x:f>SUM(I28:I30)</x:f>
        <x:v>0</x:v>
      </x:c>
      <x:c r="J27" s="70" t="n">
        <x:f>SUM(J28:J30)</x:f>
        <x:v>0</x:v>
      </x:c>
      <x:c r="K27" s="70" t="n">
        <x:f>SUM(K28:K30)</x:f>
        <x:v>0</x:v>
      </x:c>
      <x:c r="L27" s="70" t="n">
        <x:f>SUM(L28:L30)</x:f>
        <x:v>0</x:v>
      </x:c>
      <x:c r="M27" s="70" t="n">
        <x:f>SUM(M28:M30)</x:f>
        <x:v>0</x:v>
      </x:c>
      <x:c r="N27" s="70" t="n">
        <x:f>SUM(N28:N30)</x:f>
        <x:v>2.67</x:v>
      </x:c>
      <x:c r="O27" s="70" t="n">
        <x:f>SUM(O28:O30)</x:f>
        <x:v>2.73</x:v>
      </x:c>
      <x:c r="P27" s="70" t="n">
        <x:f>SUM(P28:P30)</x:f>
        <x:v>2.6</x:v>
      </x:c>
      <x:c r="Q27" s="70" t="n">
        <x:f>SUM(Q28:Q30)</x:f>
        <x:v>0</x:v>
      </x:c>
      <x:c r="R27" s="70" t="n">
        <x:f>SUM(R28:R30)</x:f>
        <x:v>0</x:v>
      </x:c>
      <x:c r="S27" s="70" t="n">
        <x:f>SUM(S28:S30)</x:f>
        <x:v>0</x:v>
      </x:c>
      <x:c r="U27" s="68" t="str">
        <x:v>Día 1</x:v>
      </x:c>
      <x:c r="V27" s="69" t="n">
        <x:f>H4</x:f>
        <x:v>36.666666666666664</x:v>
      </x:c>
      <x:c r="W27" s="69" t="n">
        <x:f>H5</x:f>
        <x:v>37</x:v>
      </x:c>
    </x:row>
    <x:row r="28" ht="27" customHeight="1">
      <x:c r="A28" s="28" t="str"/>
      <x:c r="B28" s="28" t="str">
        <x:v>HU-06.01</x:v>
      </x:c>
      <x:c r="C28" s="29" t="str">
        <x:v>Diseñar encabezado, panel de filtros, tarjetas y cuadrícula responsive</x:v>
      </x:c>
      <x:c r="D28" s="28" t="str">
        <x:v>Juan Pablo Arenas Avendaño</x:v>
      </x:c>
      <x:c r="E28" s="30" t="str">
        <x:v>DONE</x:v>
      </x:c>
      <x:c r="F28" s="71" t="n">
        <x:v>3</x:v>
      </x:c>
      <x:c r="G28" s="71" t="n">
        <x:f>SUM(H28:S28)</x:f>
        <x:v>3</x:v>
      </x:c>
      <x:c r="H28" s="71" t="n">
        <x:v>0</x:v>
      </x:c>
      <x:c r="I28" s="71" t="n">
        <x:v>0</x:v>
      </x:c>
      <x:c r="J28" s="71" t="n">
        <x:v>0</x:v>
      </x:c>
      <x:c r="K28" s="71" t="n">
        <x:v>0</x:v>
      </x:c>
      <x:c r="L28" s="71" t="n">
        <x:v>0</x:v>
      </x:c>
      <x:c r="M28" s="71" t="n">
        <x:v>0</x:v>
      </x:c>
      <x:c r="N28" s="71" t="n">
        <x:v>2.67</x:v>
      </x:c>
      <x:c r="O28" s="71" t="n">
        <x:v>0.33</x:v>
      </x:c>
      <x:c r="P28" s="71" t="n">
        <x:v>0</x:v>
      </x:c>
      <x:c r="Q28" s="71" t="n">
        <x:v>0</x:v>
      </x:c>
      <x:c r="R28" s="71" t="n">
        <x:v>0</x:v>
      </x:c>
      <x:c r="S28" s="71" t="n">
        <x:v>0</x:v>
      </x:c>
      <x:c r="U28" s="68" t="str">
        <x:v>Día 2</x:v>
      </x:c>
      <x:c r="V28" s="69" t="n">
        <x:f>I4</x:f>
        <x:v>33.33333333333333</x:v>
      </x:c>
      <x:c r="W28" s="69" t="n">
        <x:f>I5</x:f>
        <x:v>33.29</x:v>
      </x:c>
    </x:row>
    <x:row r="29" ht="27" customHeight="1">
      <x:c r="A29" s="36" t="str"/>
      <x:c r="B29" s="36" t="str">
        <x:v>HU-06.02</x:v>
      </x:c>
      <x:c r="C29" s="37" t="str">
        <x:v>Incorporar navegación por teclado, foco visible y movimiento reducido</x:v>
      </x:c>
      <x:c r="D29" s="36" t="str">
        <x:v>David Ricardo Carvajal Barragán</x:v>
      </x:c>
      <x:c r="E29" s="30" t="str">
        <x:v>DONE</x:v>
      </x:c>
      <x:c r="F29" s="72" t="n">
        <x:v>3</x:v>
      </x:c>
      <x:c r="G29" s="72" t="n">
        <x:f>SUM(H29:S29)</x:f>
        <x:v>3</x:v>
      </x:c>
      <x:c r="H29" s="72" t="n">
        <x:v>0</x:v>
      </x:c>
      <x:c r="I29" s="72" t="n">
        <x:v>0</x:v>
      </x:c>
      <x:c r="J29" s="72" t="n">
        <x:v>0</x:v>
      </x:c>
      <x:c r="K29" s="72" t="n">
        <x:v>0</x:v>
      </x:c>
      <x:c r="L29" s="72" t="n">
        <x:v>0</x:v>
      </x:c>
      <x:c r="M29" s="72" t="n">
        <x:v>0</x:v>
      </x:c>
      <x:c r="N29" s="72" t="n">
        <x:v>0</x:v>
      </x:c>
      <x:c r="O29" s="72" t="n">
        <x:v>2.4</x:v>
      </x:c>
      <x:c r="P29" s="72" t="n">
        <x:v>0.6</x:v>
      </x:c>
      <x:c r="Q29" s="72" t="n">
        <x:v>0</x:v>
      </x:c>
      <x:c r="R29" s="72" t="n">
        <x:v>0</x:v>
      </x:c>
      <x:c r="S29" s="72" t="n">
        <x:v>0</x:v>
      </x:c>
      <x:c r="U29" s="68" t="str">
        <x:v>Día 3</x:v>
      </x:c>
      <x:c r="V29" s="69" t="n">
        <x:f>J4</x:f>
        <x:v>29.999999999999996</x:v>
      </x:c>
      <x:c r="W29" s="69" t="n">
        <x:f>J5</x:f>
        <x:v>30</x:v>
      </x:c>
    </x:row>
    <x:row r="30" ht="27" customHeight="1">
      <x:c r="A30" s="28" t="str"/>
      <x:c r="B30" s="28" t="str">
        <x:v>HU-06.03</x:v>
      </x:c>
      <x:c r="C30" s="29" t="str">
        <x:v>Implementar estados de carga, error, reintento y resultados vacíos</x:v>
      </x:c>
      <x:c r="D30" s="28" t="str">
        <x:v>Juan Pablo Arenas Avendaño</x:v>
      </x:c>
      <x:c r="E30" s="30" t="str">
        <x:v>DONE</x:v>
      </x:c>
      <x:c r="F30" s="71" t="n">
        <x:v>2</x:v>
      </x:c>
      <x:c r="G30" s="71" t="n">
        <x:f>SUM(H30:S30)</x:f>
        <x:v>2</x:v>
      </x:c>
      <x:c r="H30" s="71" t="n">
        <x:v>0</x:v>
      </x:c>
      <x:c r="I30" s="71" t="n">
        <x:v>0</x:v>
      </x:c>
      <x:c r="J30" s="71" t="n">
        <x:v>0</x:v>
      </x:c>
      <x:c r="K30" s="71" t="n">
        <x:v>0</x:v>
      </x:c>
      <x:c r="L30" s="71" t="n">
        <x:v>0</x:v>
      </x:c>
      <x:c r="M30" s="71" t="n">
        <x:v>0</x:v>
      </x:c>
      <x:c r="N30" s="71" t="n">
        <x:v>0</x:v>
      </x:c>
      <x:c r="O30" s="71" t="n">
        <x:v>0</x:v>
      </x:c>
      <x:c r="P30" s="71" t="n">
        <x:v>2</x:v>
      </x:c>
      <x:c r="Q30" s="71" t="n">
        <x:v>0</x:v>
      </x:c>
      <x:c r="R30" s="71" t="n">
        <x:v>0</x:v>
      </x:c>
      <x:c r="S30" s="71" t="n">
        <x:v>0</x:v>
      </x:c>
      <x:c r="U30" s="68" t="str">
        <x:v>Día 4</x:v>
      </x:c>
      <x:c r="V30" s="69" t="n">
        <x:f>K4</x:f>
        <x:v>26.666666666666664</x:v>
      </x:c>
      <x:c r="W30" s="69" t="n">
        <x:f>K5</x:f>
        <x:v>26.67</x:v>
      </x:c>
    </x:row>
    <x:row r="31" ht="22.5" customHeight="1">
      <x:c r="A31" s="49" t="str">
        <x:v>HU-07</x:v>
      </x:c>
      <x:c r="B31" s="20" t="str"/>
      <x:c r="C31" s="20" t="str">
        <x:v>Verificar la calidad técnica y la ejecución en producción</x:v>
      </x:c>
      <x:c r="D31" s="20" t="str">
        <x:v>David Ricardo Carvajal Barragán</x:v>
      </x:c>
      <x:c r="E31" s="20" t="str">
        <x:v>DONE</x:v>
      </x:c>
      <x:c r="F31" s="70" t="n">
        <x:f>SUM(F32:F34)</x:f>
        <x:v>8</x:v>
      </x:c>
      <x:c r="G31" s="70" t="n">
        <x:f>SUM(G32:G34)</x:f>
        <x:v>8</x:v>
      </x:c>
      <x:c r="H31" s="70" t="n">
        <x:f>SUM(H32:H34)</x:f>
        <x:v>0</x:v>
      </x:c>
      <x:c r="I31" s="70" t="n">
        <x:f>SUM(I32:I34)</x:f>
        <x:v>0</x:v>
      </x:c>
      <x:c r="J31" s="70" t="n">
        <x:f>SUM(J32:J34)</x:f>
        <x:v>0</x:v>
      </x:c>
      <x:c r="K31" s="70" t="n">
        <x:f>SUM(K32:K34)</x:f>
        <x:v>0</x:v>
      </x:c>
      <x:c r="L31" s="70" t="n">
        <x:f>SUM(L32:L34)</x:f>
        <x:v>0</x:v>
      </x:c>
      <x:c r="M31" s="70" t="n">
        <x:f>SUM(M32:M34)</x:f>
        <x:v>0</x:v>
      </x:c>
      <x:c r="N31" s="70" t="n">
        <x:f>SUM(N32:N34)</x:f>
        <x:v>0</x:v>
      </x:c>
      <x:c r="O31" s="70" t="n">
        <x:f>SUM(O32:O34)</x:f>
        <x:v>0</x:v>
      </x:c>
      <x:c r="P31" s="70" t="n">
        <x:f>SUM(P32:P34)</x:f>
        <x:v>1.5</x:v>
      </x:c>
      <x:c r="Q31" s="70" t="n">
        <x:f>SUM(Q32:Q34)</x:f>
        <x:v>2.7</x:v>
      </x:c>
      <x:c r="R31" s="70" t="n">
        <x:f>SUM(R32:R34)</x:f>
        <x:v>3.4699999999999998</x:v>
      </x:c>
      <x:c r="S31" s="70" t="n">
        <x:f>SUM(S32:S34)</x:f>
        <x:v>0.33</x:v>
      </x:c>
      <x:c r="U31" s="68" t="str">
        <x:v>Día 5</x:v>
      </x:c>
      <x:c r="V31" s="69" t="n">
        <x:f>L4</x:f>
        <x:v>23.333333333333332</x:v>
      </x:c>
      <x:c r="W31" s="69" t="n">
        <x:f>L5</x:f>
        <x:v>23.67</x:v>
      </x:c>
    </x:row>
    <x:row r="32" ht="27" customHeight="1">
      <x:c r="A32" s="28" t="str"/>
      <x:c r="B32" s="28" t="str">
        <x:v>HU-07.01</x:v>
      </x:c>
      <x:c r="C32" s="29" t="str">
        <x:v>Crear pruebas backend para catálogo, servicio, validación y endpoints</x:v>
      </x:c>
      <x:c r="D32" s="28" t="str">
        <x:v>David Ricardo Carvajal Barragán</x:v>
      </x:c>
      <x:c r="E32" s="30" t="str">
        <x:v>DONE</x:v>
      </x:c>
      <x:c r="F32" s="71" t="n">
        <x:v>3</x:v>
      </x:c>
      <x:c r="G32" s="71" t="n">
        <x:f>SUM(H32:S32)</x:f>
        <x:v>3</x:v>
      </x:c>
      <x:c r="H32" s="71" t="n">
        <x:v>0</x:v>
      </x:c>
      <x:c r="I32" s="71" t="n">
        <x:v>0</x:v>
      </x:c>
      <x:c r="J32" s="71" t="n">
        <x:v>0</x:v>
      </x:c>
      <x:c r="K32" s="71" t="n">
        <x:v>0</x:v>
      </x:c>
      <x:c r="L32" s="71" t="n">
        <x:v>0</x:v>
      </x:c>
      <x:c r="M32" s="71" t="n">
        <x:v>0</x:v>
      </x:c>
      <x:c r="N32" s="71" t="n">
        <x:v>0</x:v>
      </x:c>
      <x:c r="O32" s="71" t="n">
        <x:v>0</x:v>
      </x:c>
      <x:c r="P32" s="71" t="n">
        <x:v>1.5</x:v>
      </x:c>
      <x:c r="Q32" s="71" t="n">
        <x:v>1.5</x:v>
      </x:c>
      <x:c r="R32" s="71" t="n">
        <x:v>0</x:v>
      </x:c>
      <x:c r="S32" s="71" t="n">
        <x:v>0</x:v>
      </x:c>
      <x:c r="U32" s="68" t="str">
        <x:v>Día 6</x:v>
      </x:c>
      <x:c r="V32" s="69" t="n">
        <x:f>M4</x:f>
        <x:v>20</x:v>
      </x:c>
      <x:c r="W32" s="69" t="n">
        <x:f>M5</x:f>
        <x:v>20</x:v>
      </x:c>
    </x:row>
    <x:row r="33" ht="27" customHeight="1">
      <x:c r="A33" s="36" t="str"/>
      <x:c r="B33" s="36" t="str">
        <x:v>HU-07.02</x:v>
      </x:c>
      <x:c r="C33" s="37" t="str">
        <x:v>Crear pruebas frontend para renderizado, controles, errores y reintento</x:v>
      </x:c>
      <x:c r="D33" s="36" t="str">
        <x:v>Juan Pablo Arenas Avendaño</x:v>
      </x:c>
      <x:c r="E33" s="30" t="str">
        <x:v>DONE</x:v>
      </x:c>
      <x:c r="F33" s="72" t="n">
        <x:v>3</x:v>
      </x:c>
      <x:c r="G33" s="72" t="n">
        <x:f>SUM(H33:S33)</x:f>
        <x:v>3</x:v>
      </x:c>
      <x:c r="H33" s="72" t="n">
        <x:v>0</x:v>
      </x:c>
      <x:c r="I33" s="72" t="n">
        <x:v>0</x:v>
      </x:c>
      <x:c r="J33" s="72" t="n">
        <x:v>0</x:v>
      </x:c>
      <x:c r="K33" s="72" t="n">
        <x:v>0</x:v>
      </x:c>
      <x:c r="L33" s="72" t="n">
        <x:v>0</x:v>
      </x:c>
      <x:c r="M33" s="72" t="n">
        <x:v>0</x:v>
      </x:c>
      <x:c r="N33" s="72" t="n">
        <x:v>0</x:v>
      </x:c>
      <x:c r="O33" s="72" t="n">
        <x:v>0</x:v>
      </x:c>
      <x:c r="P33" s="72" t="n">
        <x:v>0</x:v>
      </x:c>
      <x:c r="Q33" s="72" t="n">
        <x:v>1.2</x:v>
      </x:c>
      <x:c r="R33" s="72" t="n">
        <x:v>1.8</x:v>
      </x:c>
      <x:c r="S33" s="72" t="n">
        <x:v>0</x:v>
      </x:c>
      <x:c r="U33" s="68" t="str">
        <x:v>Día 7</x:v>
      </x:c>
      <x:c r="V33" s="69" t="n">
        <x:f>N4</x:f>
        <x:v>16.666666666666668</x:v>
      </x:c>
      <x:c r="W33" s="69" t="n">
        <x:f>N5</x:f>
        <x:v>16.33</x:v>
      </x:c>
    </x:row>
    <x:row r="34" ht="27" customHeight="1">
      <x:c r="A34" s="28" t="str"/>
      <x:c r="B34" s="28" t="str">
        <x:v>HU-07.03</x:v>
      </x:c>
      <x:c r="C34" s="29" t="str">
        <x:v>Ejecutar typecheck, lint, pruebas, build, audit y comprobación de producción</x:v>
      </x:c>
      <x:c r="D34" s="28" t="str">
        <x:v>David Ricardo Carvajal Barragán</x:v>
      </x:c>
      <x:c r="E34" s="30" t="str">
        <x:v>DONE</x:v>
      </x:c>
      <x:c r="F34" s="71" t="n">
        <x:v>2</x:v>
      </x:c>
      <x:c r="G34" s="71" t="n">
        <x:f>SUM(H34:S34)</x:f>
        <x:v>2</x:v>
      </x:c>
      <x:c r="H34" s="71" t="n">
        <x:v>0</x:v>
      </x:c>
      <x:c r="I34" s="71" t="n">
        <x:v>0</x:v>
      </x:c>
      <x:c r="J34" s="71" t="n">
        <x:v>0</x:v>
      </x:c>
      <x:c r="K34" s="71" t="n">
        <x:v>0</x:v>
      </x:c>
      <x:c r="L34" s="71" t="n">
        <x:v>0</x:v>
      </x:c>
      <x:c r="M34" s="71" t="n">
        <x:v>0</x:v>
      </x:c>
      <x:c r="N34" s="71" t="n">
        <x:v>0</x:v>
      </x:c>
      <x:c r="O34" s="71" t="n">
        <x:v>0</x:v>
      </x:c>
      <x:c r="P34" s="71" t="n">
        <x:v>0</x:v>
      </x:c>
      <x:c r="Q34" s="71" t="n">
        <x:v>0</x:v>
      </x:c>
      <x:c r="R34" s="71" t="n">
        <x:v>1.67</x:v>
      </x:c>
      <x:c r="S34" s="71" t="n">
        <x:v>0.33</x:v>
      </x:c>
      <x:c r="U34" s="68" t="str">
        <x:v>Día 8</x:v>
      </x:c>
      <x:c r="V34" s="69" t="n">
        <x:f>O4</x:f>
        <x:v>13.333333333333334</x:v>
      </x:c>
      <x:c r="W34" s="69" t="n">
        <x:f>O5</x:f>
        <x:v>13.599999999999998</x:v>
      </x:c>
    </x:row>
    <x:row r="35" ht="22.5" customHeight="1">
      <x:c r="A35" s="51" t="str">
        <x:v>HU-08</x:v>
      </x:c>
      <x:c r="B35" s="20" t="str"/>
      <x:c r="C35" s="20" t="str">
        <x:v>Documentar y validar la entrega del incremento</x:v>
      </x:c>
      <x:c r="D35" s="20" t="str">
        <x:v>Juan Pablo Arenas Avendaño</x:v>
      </x:c>
      <x:c r="E35" s="20" t="str">
        <x:v>DONE</x:v>
      </x:c>
      <x:c r="F35" s="70" t="n">
        <x:f>SUM(F36:F38)</x:f>
        <x:v>3</x:v>
      </x:c>
      <x:c r="G35" s="70" t="n">
        <x:f>SUM(G36:G38)</x:f>
        <x:v>3</x:v>
      </x:c>
      <x:c r="H35" s="70" t="n">
        <x:f>SUM(H36:H38)</x:f>
        <x:v>0</x:v>
      </x:c>
      <x:c r="I35" s="70" t="n">
        <x:f>SUM(I36:I38)</x:f>
        <x:v>0</x:v>
      </x:c>
      <x:c r="J35" s="70" t="n">
        <x:f>SUM(J36:J38)</x:f>
        <x:v>0</x:v>
      </x:c>
      <x:c r="K35" s="70" t="n">
        <x:f>SUM(K36:K38)</x:f>
        <x:v>0</x:v>
      </x:c>
      <x:c r="L35" s="70" t="n">
        <x:f>SUM(L36:L38)</x:f>
        <x:v>0</x:v>
      </x:c>
      <x:c r="M35" s="70" t="n">
        <x:f>SUM(M36:M38)</x:f>
        <x:v>0</x:v>
      </x:c>
      <x:c r="N35" s="70" t="n">
        <x:f>SUM(N36:N38)</x:f>
        <x:v>0</x:v>
      </x:c>
      <x:c r="O35" s="70" t="n">
        <x:f>SUM(O36:O38)</x:f>
        <x:v>0</x:v>
      </x:c>
      <x:c r="P35" s="70" t="n">
        <x:f>SUM(P36:P38)</x:f>
        <x:v>0</x:v>
      </x:c>
      <x:c r="Q35" s="70" t="n">
        <x:f>SUM(Q36:Q38)</x:f>
        <x:v>0</x:v>
      </x:c>
      <x:c r="R35" s="70" t="n">
        <x:f>SUM(R36:R38)</x:f>
        <x:v>0</x:v>
      </x:c>
      <x:c r="S35" s="70" t="n">
        <x:f>SUM(S36:S38)</x:f>
        <x:v>3</x:v>
      </x:c>
      <x:c r="U35" s="68" t="str">
        <x:v>Día 9</x:v>
      </x:c>
      <x:c r="V35" s="69" t="n">
        <x:f>P4</x:f>
        <x:v>10</x:v>
      </x:c>
      <x:c r="W35" s="69" t="n">
        <x:f>P5</x:f>
        <x:v>9.499999999999998</x:v>
      </x:c>
    </x:row>
    <x:row r="36" ht="27" customHeight="1">
      <x:c r="A36" s="28" t="str"/>
      <x:c r="B36" s="28" t="str">
        <x:v>HU-08.01</x:v>
      </x:c>
      <x:c r="C36" s="29" t="str">
        <x:v>Actualizar README con arquitectura, comandos, endpoints y alcance real</x:v>
      </x:c>
      <x:c r="D36" s="28" t="str">
        <x:v>Juan Pablo Arenas Avendaño</x:v>
      </x:c>
      <x:c r="E36" s="30" t="str">
        <x:v>DONE</x:v>
      </x:c>
      <x:c r="F36" s="71" t="n">
        <x:v>1</x:v>
      </x:c>
      <x:c r="G36" s="71" t="n">
        <x:f>SUM(H36:S36)</x:f>
        <x:v>1</x:v>
      </x:c>
      <x:c r="H36" s="71" t="n">
        <x:v>0</x:v>
      </x:c>
      <x:c r="I36" s="71" t="n">
        <x:v>0</x:v>
      </x:c>
      <x:c r="J36" s="71" t="n">
        <x:v>0</x:v>
      </x:c>
      <x:c r="K36" s="71" t="n">
        <x:v>0</x:v>
      </x:c>
      <x:c r="L36" s="71" t="n">
        <x:v>0</x:v>
      </x:c>
      <x:c r="M36" s="71" t="n">
        <x:v>0</x:v>
      </x:c>
      <x:c r="N36" s="71" t="n">
        <x:v>0</x:v>
      </x:c>
      <x:c r="O36" s="71" t="n">
        <x:v>0</x:v>
      </x:c>
      <x:c r="P36" s="71" t="n">
        <x:v>0</x:v>
      </x:c>
      <x:c r="Q36" s="71" t="n">
        <x:v>0</x:v>
      </x:c>
      <x:c r="R36" s="71" t="n">
        <x:v>0</x:v>
      </x:c>
      <x:c r="S36" s="71" t="n">
        <x:v>1</x:v>
      </x:c>
      <x:c r="U36" s="68" t="str">
        <x:v>Día 10</x:v>
      </x:c>
      <x:c r="V36" s="69" t="n">
        <x:f>Q4</x:f>
        <x:v>6.666666666666666</x:v>
      </x:c>
      <x:c r="W36" s="69" t="n">
        <x:f>Q5</x:f>
        <x:v>6.799999999999998</x:v>
      </x:c>
    </x:row>
    <x:row r="37" ht="27" customHeight="1">
      <x:c r="A37" s="36" t="str"/>
      <x:c r="B37" s="36" t="str">
        <x:v>HU-08.02</x:v>
      </x:c>
      <x:c r="C37" s="37" t="str">
        <x:v>Confirmar integridad del enunciado y revisar el estado final de Git</x:v>
      </x:c>
      <x:c r="D37" s="36" t="str">
        <x:v>David Ricardo Carvajal Barragán</x:v>
      </x:c>
      <x:c r="E37" s="30" t="str">
        <x:v>DONE</x:v>
      </x:c>
      <x:c r="F37" s="72" t="n">
        <x:v>1</x:v>
      </x:c>
      <x:c r="G37" s="72" t="n">
        <x:f>SUM(H37:S37)</x:f>
        <x:v>1</x:v>
      </x:c>
      <x:c r="H37" s="72" t="n">
        <x:v>0</x:v>
      </x:c>
      <x:c r="I37" s="72" t="n">
        <x:v>0</x:v>
      </x:c>
      <x:c r="J37" s="72" t="n">
        <x:v>0</x:v>
      </x:c>
      <x:c r="K37" s="72" t="n">
        <x:v>0</x:v>
      </x:c>
      <x:c r="L37" s="72" t="n">
        <x:v>0</x:v>
      </x:c>
      <x:c r="M37" s="72" t="n">
        <x:v>0</x:v>
      </x:c>
      <x:c r="N37" s="72" t="n">
        <x:v>0</x:v>
      </x:c>
      <x:c r="O37" s="72" t="n">
        <x:v>0</x:v>
      </x:c>
      <x:c r="P37" s="72" t="n">
        <x:v>0</x:v>
      </x:c>
      <x:c r="Q37" s="72" t="n">
        <x:v>0</x:v>
      </x:c>
      <x:c r="R37" s="72" t="n">
        <x:v>0</x:v>
      </x:c>
      <x:c r="S37" s="72" t="n">
        <x:v>1</x:v>
      </x:c>
      <x:c r="U37" s="68" t="str">
        <x:v>Día 11</x:v>
      </x:c>
      <x:c r="V37" s="69" t="n">
        <x:f>R4</x:f>
        <x:v>3.3333333333333326</x:v>
      </x:c>
      <x:c r="W37" s="69" t="n">
        <x:f>R5</x:f>
        <x:v>3.3299999999999983</x:v>
      </x:c>
    </x:row>
    <x:row r="38" ht="27" customHeight="1">
      <x:c r="A38" s="28" t="str"/>
      <x:c r="B38" s="28" t="str">
        <x:v>HU-08.03</x:v>
      </x:c>
      <x:c r="C38" s="29" t="str">
        <x:v>Realizar revisión visual de escritorio y registrar la validación móvil pendiente</x:v>
      </x:c>
      <x:c r="D38" s="28" t="str">
        <x:v>Juan Pablo Arenas Avendaño</x:v>
      </x:c>
      <x:c r="E38" s="30" t="str">
        <x:v>DONE</x:v>
      </x:c>
      <x:c r="F38" s="71" t="n">
        <x:v>1</x:v>
      </x:c>
      <x:c r="G38" s="71" t="n">
        <x:f>SUM(H38:S38)</x:f>
        <x:v>1</x:v>
      </x:c>
      <x:c r="H38" s="71" t="n">
        <x:v>0</x:v>
      </x:c>
      <x:c r="I38" s="71" t="n">
        <x:v>0</x:v>
      </x:c>
      <x:c r="J38" s="71" t="n">
        <x:v>0</x:v>
      </x:c>
      <x:c r="K38" s="71" t="n">
        <x:v>0</x:v>
      </x:c>
      <x:c r="L38" s="71" t="n">
        <x:v>0</x:v>
      </x:c>
      <x:c r="M38" s="71" t="n">
        <x:v>0</x:v>
      </x:c>
      <x:c r="N38" s="71" t="n">
        <x:v>0</x:v>
      </x:c>
      <x:c r="O38" s="71" t="n">
        <x:v>0</x:v>
      </x:c>
      <x:c r="P38" s="71" t="n">
        <x:v>0</x:v>
      </x:c>
      <x:c r="Q38" s="71" t="n">
        <x:v>0</x:v>
      </x:c>
      <x:c r="R38" s="71" t="n">
        <x:v>0</x:v>
      </x:c>
      <x:c r="S38" s="71" t="n">
        <x:v>1</x:v>
      </x:c>
      <x:c r="U38" s="68" t="str">
        <x:v>Día 12</x:v>
      </x:c>
      <x:c r="V38" s="69" t="n">
        <x:f>S4</x:f>
        <x:v>0</x:v>
      </x:c>
      <x:c r="W38" s="69" t="n">
        <x:f>S5</x:f>
        <x:v>0</x:v>
      </x:c>
    </x:row>
  </x:sheetData>
  <x:mergeCells>
    <x:mergeCell ref="A1:G1"/>
    <x:mergeCell ref="H1:M1"/>
    <x:mergeCell ref="N1:S1"/>
    <x:mergeCell ref="A2:A3"/>
    <x:mergeCell ref="B2:B3"/>
    <x:mergeCell ref="C2:C3"/>
    <x:mergeCell ref="D2:D3"/>
    <x:mergeCell ref="E2:E3"/>
    <x:mergeCell ref="F2:F3"/>
    <x:mergeCell ref="G2:G3"/>
    <x:mergeCell ref="A4:E4"/>
    <x:mergeCell ref="C5:E5"/>
    <x:mergeCell ref="A6:G6"/>
  </x:mergeCells>
  <x:dataValidations count="2">
    <x:dataValidation type="list" sqref="D7:D38">
      <x:formula1>"David Ricardo Carvajal Barragán,Juan Pablo Arenas Avendaño"</x:formula1>
    </x:dataValidation>
    <x:dataValidation type="list" sqref="E7:E38">
      <x:formula1>"TO DO,IN PROGRESS,DONE"</x:formula1>
    </x:dataValidation>
  </x:dataValidations>
  <x:pageMargins left="0.7" right="0.7" top="0.75" bottom="0.75" header="0.3" footer="0.3"/>
  <x:drawing xmlns:r="http://schemas.openxmlformats.org/officeDocument/2006/relationships" r:id="R0e16aed20f1b40b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1" max="21" width="7.78000020980835" hidden="0" customWidth="1"/>
    <x:col min="22" max="22" width="11.670000076293945" hidden="0" customWidth="1"/>
    <x:col min="23" max="23" width="11.670000076293945" hidden="0" customWidth="1"/>
    <x:col min="1" max="1" width="8" hidden="0" customWidth="1"/>
    <x:col min="2" max="2" width="10.220000267028809" hidden="0" customWidth="1"/>
    <x:col min="3" max="3" width="46.66999816894531" hidden="0" customWidth="1"/>
    <x:col min="4" max="4" width="21.670000076293945" hidden="0" customWidth="1"/>
    <x:col min="5" max="5" width="9.109999656677246" hidden="0" customWidth="1"/>
    <x:col min="6" max="6" width="10" hidden="0" customWidth="1"/>
    <x:col min="7" max="7" width="10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</x:cols>
  <x:sheetData>
    <x:row r="1">
      <x:c r="A1" s="3" t="str">
        <x:v>SEGUIMIENTO TIEMPO EMPLEADO POR HISTORIA DE USUARIO (HORAS)</x:v>
      </x:c>
      <x:c r="B1" s="3"/>
      <x:c r="C1" s="3"/>
      <x:c r="D1" s="3"/>
      <x:c r="E1" s="3"/>
      <x:c r="F1" s="3"/>
      <x:c r="G1" s="3"/>
      <x:c r="H1" s="5" t="str">
        <x:v>SEMANA 1 - SPRINT 1</x:v>
      </x:c>
      <x:c r="I1" s="5"/>
      <x:c r="J1" s="5"/>
      <x:c r="K1" s="5"/>
      <x:c r="L1" s="5"/>
      <x:c r="M1" s="5"/>
      <x:c r="N1" s="5" t="str">
        <x:v>SEMANA 2 - SPRINT 1</x:v>
      </x:c>
      <x:c r="O1" s="5"/>
      <x:c r="P1" s="5"/>
      <x:c r="Q1" s="5"/>
      <x:c r="R1" s="5"/>
      <x:c r="S1" s="5"/>
    </x:row>
    <x:row r="2">
      <x:c r="A2" s="12" t="str">
        <x:v>HU-ID</x:v>
      </x:c>
      <x:c r="B2" s="12" t="str">
        <x:v>TASK-ID</x:v>
      </x:c>
      <x:c r="C2" s="12" t="str">
        <x:v>HU/TASK</x:v>
      </x:c>
      <x:c r="D2" s="12" t="str">
        <x:v>ASIGNADO A</x:v>
      </x:c>
      <x:c r="E2" s="12" t="str">
        <x:v>ESTADO</x:v>
      </x:c>
      <x:c r="F2" s="13" t="str">
        <x:v>Tiempo en horas proyectado</x:v>
      </x:c>
      <x:c r="G2" s="13" t="str">
        <x:v>Horas invertidas</x:v>
      </x:c>
      <x:c r="H2" s="12" t="n">
        <x:v>1</x:v>
      </x:c>
      <x:c r="I2" s="12" t="n">
        <x:v>2</x:v>
      </x:c>
      <x:c r="J2" s="12" t="n">
        <x:v>3</x:v>
      </x:c>
      <x:c r="K2" s="12" t="n">
        <x:v>4</x:v>
      </x:c>
      <x:c r="L2" s="12" t="n">
        <x:v>5</x:v>
      </x:c>
      <x:c r="M2" s="12" t="n">
        <x:v>6</x:v>
      </x:c>
      <x:c r="N2" s="12" t="n">
        <x:v>7</x:v>
      </x:c>
      <x:c r="O2" s="12" t="n">
        <x:v>8</x:v>
      </x:c>
      <x:c r="P2" s="12" t="n">
        <x:v>9</x:v>
      </x:c>
      <x:c r="Q2" s="12" t="n">
        <x:v>10</x:v>
      </x:c>
      <x:c r="R2" s="12" t="n">
        <x:v>11</x:v>
      </x:c>
      <x:c r="S2" s="12" t="n">
        <x:v>12</x:v>
      </x:c>
    </x:row>
    <x:row r="3">
      <x:c r="A3" s="12"/>
      <x:c r="B3" s="12"/>
      <x:c r="C3" s="12"/>
      <x:c r="D3" s="12"/>
      <x:c r="E3" s="12"/>
      <x:c r="F3" s="13"/>
      <x:c r="G3" s="13"/>
      <x:c r="H3" s="12" t="str">
        <x:v>Día 1</x:v>
      </x:c>
      <x:c r="I3" s="12" t="str">
        <x:v>Día 2</x:v>
      </x:c>
      <x:c r="J3" s="12" t="str">
        <x:v>Día 3</x:v>
      </x:c>
      <x:c r="K3" s="12" t="str">
        <x:v>Día 4</x:v>
      </x:c>
      <x:c r="L3" s="12" t="str">
        <x:v>Día 5</x:v>
      </x:c>
      <x:c r="M3" s="12" t="str">
        <x:v>Día 6</x:v>
      </x:c>
      <x:c r="N3" s="12" t="str">
        <x:v>Día 7</x:v>
      </x:c>
      <x:c r="O3" s="12" t="str">
        <x:v>Día 8</x:v>
      </x:c>
      <x:c r="P3" s="12" t="str">
        <x:v>Día 9</x:v>
      </x:c>
      <x:c r="Q3" s="12" t="str">
        <x:v>Día 10</x:v>
      </x:c>
      <x:c r="R3" s="12" t="str">
        <x:v>Día 11</x:v>
      </x:c>
      <x:c r="S3" s="12" t="str">
        <x:v>Día 12</x:v>
      </x:c>
    </x:row>
    <x:row r="4">
      <x:c r="A4" s="57" t="str">
        <x:v>TIEMPO ESTIMADO DEL SPRINT 1  --&gt;</x:v>
      </x:c>
      <x:c r="B4" s="57"/>
      <x:c r="C4" s="57"/>
      <x:c r="D4" s="57"/>
      <x:c r="E4" s="57"/>
      <x:c r="F4" s="58" t="n">
        <x:f>SUM(F8:F10,F12:F14,F16:F18,F20:F22,F24:F26,F28:F30,F32:F34,F36:F38)</x:f>
        <x:v>120</x:v>
      </x:c>
      <x:c r="G4" s="58"/>
      <x:c r="H4" s="58" t="n">
        <x:f>$F$4-($F$4/$B$5)</x:f>
        <x:v>110</x:v>
      </x:c>
      <x:c r="I4" s="58" t="n">
        <x:f>MAX(0,H4-($F$4/$B$5))</x:f>
        <x:v>100</x:v>
      </x:c>
      <x:c r="J4" s="58" t="n">
        <x:f>MAX(0,I4-($F$4/$B$5))</x:f>
        <x:v>90</x:v>
      </x:c>
      <x:c r="K4" s="58" t="n">
        <x:f>MAX(0,J4-($F$4/$B$5))</x:f>
        <x:v>80</x:v>
      </x:c>
      <x:c r="L4" s="58" t="n">
        <x:f>MAX(0,K4-($F$4/$B$5))</x:f>
        <x:v>70</x:v>
      </x:c>
      <x:c r="M4" s="58" t="n">
        <x:f>MAX(0,L4-($F$4/$B$5))</x:f>
        <x:v>60</x:v>
      </x:c>
      <x:c r="N4" s="58" t="n">
        <x:f>MAX(0,M4-($F$4/$B$5))</x:f>
        <x:v>50</x:v>
      </x:c>
      <x:c r="O4" s="58" t="n">
        <x:f>MAX(0,N4-($F$4/$B$5))</x:f>
        <x:v>40</x:v>
      </x:c>
      <x:c r="P4" s="58" t="n">
        <x:f>MAX(0,O4-($F$4/$B$5))</x:f>
        <x:v>30</x:v>
      </x:c>
      <x:c r="Q4" s="58" t="n">
        <x:f>MAX(0,P4-($F$4/$B$5))</x:f>
        <x:v>20</x:v>
      </x:c>
      <x:c r="R4" s="58" t="n">
        <x:f>MAX(0,Q4-($F$4/$B$5))</x:f>
        <x:v>10</x:v>
      </x:c>
      <x:c r="S4" s="58" t="n">
        <x:f>MAX(0,R4-($F$4/$B$5))</x:f>
        <x:v>0</x:v>
      </x:c>
    </x:row>
    <x:row r="5">
      <x:c r="A5" s="57"/>
      <x:c r="B5" s="57" t="n">
        <x:v>12</x:v>
      </x:c>
      <x:c r="C5" s="57" t="str">
        <x:v>&lt;-- Total días del SPRINT</x:v>
      </x:c>
      <x:c r="D5" s="57"/>
      <x:c r="E5" s="57"/>
      <x:c r="F5" s="58" t="str">
        <x:v>TIEMPO REAL --&gt;</x:v>
      </x:c>
      <x:c r="G5" s="58" t="n">
        <x:f>SUM(G8:G10,G12:G14,G16:G18,G20:G22,G24:G26,G28:G30,G32:G34,G36:G38)</x:f>
        <x:v>120</x:v>
      </x:c>
      <x:c r="H5" s="58" t="n">
        <x:f>$G$5-H6</x:f>
        <x:v>112</x:v>
      </x:c>
      <x:c r="I5" s="58" t="n">
        <x:f>MAX(0,H5-I6)</x:f>
        <x:v>100</x:v>
      </x:c>
      <x:c r="J5" s="58" t="n">
        <x:f>MAX(0,I5-J6)</x:f>
        <x:v>90</x:v>
      </x:c>
      <x:c r="K5" s="58" t="n">
        <x:f>MAX(0,J5-K6)</x:f>
        <x:v>79</x:v>
      </x:c>
      <x:c r="L5" s="58" t="n">
        <x:f>MAX(0,K5-L6)</x:f>
        <x:v>70</x:v>
      </x:c>
      <x:c r="M5" s="58" t="n">
        <x:f>MAX(0,L5-M6)</x:f>
        <x:v>60</x:v>
      </x:c>
      <x:c r="N5" s="58" t="n">
        <x:f>MAX(0,M5-N6)</x:f>
        <x:v>49</x:v>
      </x:c>
      <x:c r="O5" s="58" t="n">
        <x:f>MAX(0,N5-O6)</x:f>
        <x:v>40</x:v>
      </x:c>
      <x:c r="P5" s="58" t="n">
        <x:f>MAX(0,O5-P6)</x:f>
        <x:v>28</x:v>
      </x:c>
      <x:c r="Q5" s="58" t="n">
        <x:f>MAX(0,P5-Q6)</x:f>
        <x:v>20</x:v>
      </x:c>
      <x:c r="R5" s="58" t="n">
        <x:f>MAX(0,Q5-R6)</x:f>
        <x:v>9</x:v>
      </x:c>
      <x:c r="S5" s="58" t="n">
        <x:f>MAX(0,R5-S6)</x:f>
        <x:v>0</x:v>
      </x:c>
    </x:row>
    <x:row r="6">
      <x:c r="A6" s="57" t="str">
        <x:v>TIEMPO INVERTIDO DIARIO EN HORAS  --&gt;</x:v>
      </x:c>
      <x:c r="B6" s="57"/>
      <x:c r="C6" s="57"/>
      <x:c r="D6" s="57"/>
      <x:c r="E6" s="57"/>
      <x:c r="F6" s="57"/>
      <x:c r="G6" s="57"/>
      <x:c r="H6" s="58" t="n">
        <x:f>SUM(H8:H10,H12:H14,H16:H18,H20:H22,H24:H26,H28:H30,H32:H34,H36:H38)</x:f>
        <x:v>8</x:v>
      </x:c>
      <x:c r="I6" s="58" t="n">
        <x:f>SUM(I8:I10,I12:I14,I16:I18,I20:I22,I24:I26,I28:I30,I32:I34,I36:I38)</x:f>
        <x:v>12</x:v>
      </x:c>
      <x:c r="J6" s="58" t="n">
        <x:f>SUM(J8:J10,J12:J14,J16:J18,J20:J22,J24:J26,J28:J30,J32:J34,J36:J38)</x:f>
        <x:v>10</x:v>
      </x:c>
      <x:c r="K6" s="58" t="n">
        <x:f>SUM(K8:K10,K12:K14,K16:K18,K20:K22,K24:K26,K28:K30,K32:K34,K36:K38)</x:f>
        <x:v>11</x:v>
      </x:c>
      <x:c r="L6" s="58" t="n">
        <x:f>SUM(L8:L10,L12:L14,L16:L18,L20:L22,L24:L26,L28:L30,L32:L34,L36:L38)</x:f>
        <x:v>9</x:v>
      </x:c>
      <x:c r="M6" s="58" t="n">
        <x:f>SUM(M8:M10,M12:M14,M16:M18,M20:M22,M24:M26,M28:M30,M32:M34,M36:M38)</x:f>
        <x:v>10</x:v>
      </x:c>
      <x:c r="N6" s="58" t="n">
        <x:f>SUM(N8:N10,N12:N14,N16:N18,N20:N22,N24:N26,N28:N30,N32:N34,N36:N38)</x:f>
        <x:v>11</x:v>
      </x:c>
      <x:c r="O6" s="58" t="n">
        <x:f>SUM(O8:O10,O12:O14,O16:O18,O20:O22,O24:O26,O28:O30,O32:O34,O36:O38)</x:f>
        <x:v>9</x:v>
      </x:c>
      <x:c r="P6" s="58" t="n">
        <x:f>SUM(P8:P10,P12:P14,P16:P18,P20:P22,P24:P26,P28:P30,P32:P34,P36:P38)</x:f>
        <x:v>12</x:v>
      </x:c>
      <x:c r="Q6" s="58" t="n">
        <x:f>SUM(Q8:Q10,Q12:Q14,Q16:Q18,Q20:Q22,Q24:Q26,Q28:Q30,Q32:Q34,Q36:Q38)</x:f>
        <x:v>8</x:v>
      </x:c>
      <x:c r="R6" s="58" t="n">
        <x:f>SUM(R8:R10,R12:R14,R16:R18,R20:R22,R24:R26,R28:R30,R32:R34,R36:R38)</x:f>
        <x:v>11</x:v>
      </x:c>
      <x:c r="S6" s="58" t="n">
        <x:f>SUM(S8:S10,S12:S14,S16:S18,S20:S22,S24:S26,S28:S30,S32:S34,S36:S38)</x:f>
        <x:v>9</x:v>
      </x:c>
    </x:row>
    <x:row r="7" ht="22.5" customHeight="1">
      <x:c r="A7" s="19" t="str">
        <x:v>HU-01</x:v>
      </x:c>
      <x:c r="B7" s="20" t="str"/>
      <x:c r="C7" s="20" t="str">
        <x:v>Configurar arquitectura full stack y entorno de trabajo</x:v>
      </x:c>
      <x:c r="D7" s="20" t="str">
        <x:v>David Ricardo Carvajal Barragán</x:v>
      </x:c>
      <x:c r="E7" s="20" t="str">
        <x:v>DONE</x:v>
      </x:c>
      <x:c r="F7" s="73" t="n">
        <x:f>SUM(F8:F10)</x:f>
        <x:v>9</x:v>
      </x:c>
      <x:c r="G7" s="73" t="n">
        <x:f>SUM(G8:G10)</x:f>
        <x:v>8</x:v>
      </x:c>
      <x:c r="H7" s="73" t="n">
        <x:f>SUM(H8:H10)</x:f>
        <x:v>8</x:v>
      </x:c>
      <x:c r="I7" s="73" t="n">
        <x:f>SUM(I8:I10)</x:f>
        <x:v>0</x:v>
      </x:c>
      <x:c r="J7" s="73" t="n">
        <x:f>SUM(J8:J10)</x:f>
        <x:v>0</x:v>
      </x:c>
      <x:c r="K7" s="73" t="n">
        <x:f>SUM(K8:K10)</x:f>
        <x:v>0</x:v>
      </x:c>
      <x:c r="L7" s="73" t="n">
        <x:f>SUM(L8:L10)</x:f>
        <x:v>0</x:v>
      </x:c>
      <x:c r="M7" s="73" t="n">
        <x:f>SUM(M8:M10)</x:f>
        <x:v>0</x:v>
      </x:c>
      <x:c r="N7" s="73" t="n">
        <x:f>SUM(N8:N10)</x:f>
        <x:v>0</x:v>
      </x:c>
      <x:c r="O7" s="73" t="n">
        <x:f>SUM(O8:O10)</x:f>
        <x:v>0</x:v>
      </x:c>
      <x:c r="P7" s="73" t="n">
        <x:f>SUM(P8:P10)</x:f>
        <x:v>0</x:v>
      </x:c>
      <x:c r="Q7" s="73" t="n">
        <x:f>SUM(Q8:Q10)</x:f>
        <x:v>0</x:v>
      </x:c>
      <x:c r="R7" s="73" t="n">
        <x:f>SUM(R8:R10)</x:f>
        <x:v>0</x:v>
      </x:c>
      <x:c r="S7" s="73" t="n">
        <x:f>SUM(S8:S10)</x:f>
        <x:v>0</x:v>
      </x:c>
    </x:row>
    <x:row r="8" ht="27" customHeight="1">
      <x:c r="A8" s="28" t="str"/>
      <x:c r="B8" s="28" t="str">
        <x:v>HU-01.01</x:v>
      </x:c>
      <x:c r="C8" s="29" t="str">
        <x:v>Estructurar el monorepo con cliente React y servidor Express</x:v>
      </x:c>
      <x:c r="D8" s="28" t="str">
        <x:v>David Ricardo Carvajal Barragán</x:v>
      </x:c>
      <x:c r="E8" s="30" t="str">
        <x:v>DONE</x:v>
      </x:c>
      <x:c r="F8" s="74" t="n">
        <x:v>3</x:v>
      </x:c>
      <x:c r="G8" s="74" t="n">
        <x:f>SUM(H8:S8)</x:f>
        <x:v>3</x:v>
      </x:c>
      <x:c r="H8" s="74" t="n">
        <x:v>3</x:v>
      </x:c>
      <x:c r="I8" s="74" t="n">
        <x:v>0</x:v>
      </x:c>
      <x:c r="J8" s="74" t="n">
        <x:v>0</x:v>
      </x:c>
      <x:c r="K8" s="74" t="n">
        <x:v>0</x:v>
      </x:c>
      <x:c r="L8" s="74" t="n">
        <x:v>0</x:v>
      </x:c>
      <x:c r="M8" s="74" t="n">
        <x:v>0</x:v>
      </x:c>
      <x:c r="N8" s="74" t="n">
        <x:v>0</x:v>
      </x:c>
      <x:c r="O8" s="74" t="n">
        <x:v>0</x:v>
      </x:c>
      <x:c r="P8" s="74" t="n">
        <x:v>0</x:v>
      </x:c>
      <x:c r="Q8" s="74" t="n">
        <x:v>0</x:v>
      </x:c>
      <x:c r="R8" s="74" t="n">
        <x:v>0</x:v>
      </x:c>
      <x:c r="S8" s="74" t="n">
        <x:v>0</x:v>
      </x:c>
    </x:row>
    <x:row r="9" ht="27" customHeight="1">
      <x:c r="A9" s="36" t="str"/>
      <x:c r="B9" s="36" t="str">
        <x:v>HU-01.02</x:v>
      </x:c>
      <x:c r="C9" s="37" t="str">
        <x:v>Configurar TypeScript estricto, Vite, Tailwind y ESLint en ambos proyectos</x:v>
      </x:c>
      <x:c r="D9" s="36" t="str">
        <x:v>Juan Pablo Arenas Avendaño</x:v>
      </x:c>
      <x:c r="E9" s="30" t="str">
        <x:v>DONE</x:v>
      </x:c>
      <x:c r="F9" s="75" t="n">
        <x:v>3</x:v>
      </x:c>
      <x:c r="G9" s="75" t="n">
        <x:f>SUM(H9:S9)</x:f>
        <x:v>3</x:v>
      </x:c>
      <x:c r="H9" s="75" t="n">
        <x:v>3</x:v>
      </x:c>
      <x:c r="I9" s="75" t="n">
        <x:v>0</x:v>
      </x:c>
      <x:c r="J9" s="75" t="n">
        <x:v>0</x:v>
      </x:c>
      <x:c r="K9" s="75" t="n">
        <x:v>0</x:v>
      </x:c>
      <x:c r="L9" s="75" t="n">
        <x:v>0</x:v>
      </x:c>
      <x:c r="M9" s="75" t="n">
        <x:v>0</x:v>
      </x:c>
      <x:c r="N9" s="75" t="n">
        <x:v>0</x:v>
      </x:c>
      <x:c r="O9" s="75" t="n">
        <x:v>0</x:v>
      </x:c>
      <x:c r="P9" s="75" t="n">
        <x:v>0</x:v>
      </x:c>
      <x:c r="Q9" s="75" t="n">
        <x:v>0</x:v>
      </x:c>
      <x:c r="R9" s="75" t="n">
        <x:v>0</x:v>
      </x:c>
      <x:c r="S9" s="75" t="n">
        <x:v>0</x:v>
      </x:c>
    </x:row>
    <x:row r="10" ht="27" customHeight="1">
      <x:c r="A10" s="28" t="str"/>
      <x:c r="B10" s="28" t="str">
        <x:v>HU-01.03</x:v>
      </x:c>
      <x:c r="C10" s="29" t="str">
        <x:v>Definir scripts raíz para desarrollo, pruebas, build y ejecución de producción</x:v>
      </x:c>
      <x:c r="D10" s="28" t="str">
        <x:v>David Ricardo Carvajal Barragán</x:v>
      </x:c>
      <x:c r="E10" s="30" t="str">
        <x:v>DONE</x:v>
      </x:c>
      <x:c r="F10" s="74" t="n">
        <x:v>3</x:v>
      </x:c>
      <x:c r="G10" s="74" t="n">
        <x:f>SUM(H10:S10)</x:f>
        <x:v>2</x:v>
      </x:c>
      <x:c r="H10" s="74" t="n">
        <x:v>2</x:v>
      </x:c>
      <x:c r="I10" s="74" t="n">
        <x:v>0</x:v>
      </x:c>
      <x:c r="J10" s="74" t="n">
        <x:v>0</x:v>
      </x:c>
      <x:c r="K10" s="74" t="n">
        <x:v>0</x:v>
      </x:c>
      <x:c r="L10" s="74" t="n">
        <x:v>0</x:v>
      </x:c>
      <x:c r="M10" s="74" t="n">
        <x:v>0</x:v>
      </x:c>
      <x:c r="N10" s="74" t="n">
        <x:v>0</x:v>
      </x:c>
      <x:c r="O10" s="74" t="n">
        <x:v>0</x:v>
      </x:c>
      <x:c r="P10" s="74" t="n">
        <x:v>0</x:v>
      </x:c>
      <x:c r="Q10" s="74" t="n">
        <x:v>0</x:v>
      </x:c>
      <x:c r="R10" s="74" t="n">
        <x:v>0</x:v>
      </x:c>
      <x:c r="S10" s="74" t="n">
        <x:v>0</x:v>
      </x:c>
    </x:row>
    <x:row r="11" ht="22.5" customHeight="1">
      <x:c r="A11" s="39" t="str">
        <x:v>HU-02</x:v>
      </x:c>
      <x:c r="B11" s="20" t="str"/>
      <x:c r="C11" s="20" t="str">
        <x:v>Exponer el catálogo tipado de PixelPets mediante una API REST</x:v>
      </x:c>
      <x:c r="D11" s="20" t="str">
        <x:v>Juan Pablo Arenas Avendaño</x:v>
      </x:c>
      <x:c r="E11" s="20" t="str">
        <x:v>DONE</x:v>
      </x:c>
      <x:c r="F11" s="73" t="n">
        <x:f>SUM(F12:F14)</x:f>
        <x:v>15</x:v>
      </x:c>
      <x:c r="G11" s="73" t="n">
        <x:f>SUM(G12:G14)</x:f>
        <x:v>16</x:v>
      </x:c>
      <x:c r="H11" s="73" t="n">
        <x:f>SUM(H12:H14)</x:f>
        <x:v>0</x:v>
      </x:c>
      <x:c r="I11" s="73" t="n">
        <x:f>SUM(I12:I14)</x:f>
        <x:v>12</x:v>
      </x:c>
      <x:c r="J11" s="73" t="n">
        <x:f>SUM(J12:J14)</x:f>
        <x:v>4</x:v>
      </x:c>
      <x:c r="K11" s="73" t="n">
        <x:f>SUM(K12:K14)</x:f>
        <x:v>0</x:v>
      </x:c>
      <x:c r="L11" s="73" t="n">
        <x:f>SUM(L12:L14)</x:f>
        <x:v>0</x:v>
      </x:c>
      <x:c r="M11" s="73" t="n">
        <x:f>SUM(M12:M14)</x:f>
        <x:v>0</x:v>
      </x:c>
      <x:c r="N11" s="73" t="n">
        <x:f>SUM(N12:N14)</x:f>
        <x:v>0</x:v>
      </x:c>
      <x:c r="O11" s="73" t="n">
        <x:f>SUM(O12:O14)</x:f>
        <x:v>0</x:v>
      </x:c>
      <x:c r="P11" s="73" t="n">
        <x:f>SUM(P12:P14)</x:f>
        <x:v>0</x:v>
      </x:c>
      <x:c r="Q11" s="73" t="n">
        <x:f>SUM(Q12:Q14)</x:f>
        <x:v>0</x:v>
      </x:c>
      <x:c r="R11" s="73" t="n">
        <x:f>SUM(R12:R14)</x:f>
        <x:v>0</x:v>
      </x:c>
      <x:c r="S11" s="73" t="n">
        <x:f>SUM(S12:S14)</x:f>
        <x:v>0</x:v>
      </x:c>
    </x:row>
    <x:row r="12" ht="27" customHeight="1">
      <x:c r="A12" s="28" t="str"/>
      <x:c r="B12" s="28" t="str">
        <x:v>HU-02.01</x:v>
      </x:c>
      <x:c r="C12" s="29" t="str">
        <x:v>Definir tipos de dominio y crear el catálogo local validado de 18 mascotas</x:v>
      </x:c>
      <x:c r="D12" s="28" t="str">
        <x:v>Juan Pablo Arenas Avendaño</x:v>
      </x:c>
      <x:c r="E12" s="30" t="str">
        <x:v>DONE</x:v>
      </x:c>
      <x:c r="F12" s="74" t="n">
        <x:v>6</x:v>
      </x:c>
      <x:c r="G12" s="74" t="n">
        <x:f>SUM(H12:S12)</x:f>
        <x:v>6</x:v>
      </x:c>
      <x:c r="H12" s="74" t="n">
        <x:v>0</x:v>
      </x:c>
      <x:c r="I12" s="74" t="n">
        <x:v>6</x:v>
      </x:c>
      <x:c r="J12" s="74" t="n">
        <x:v>0</x:v>
      </x:c>
      <x:c r="K12" s="74" t="n">
        <x:v>0</x:v>
      </x:c>
      <x:c r="L12" s="74" t="n">
        <x:v>0</x:v>
      </x:c>
      <x:c r="M12" s="74" t="n">
        <x:v>0</x:v>
      </x:c>
      <x:c r="N12" s="74" t="n">
        <x:v>0</x:v>
      </x:c>
      <x:c r="O12" s="74" t="n">
        <x:v>0</x:v>
      </x:c>
      <x:c r="P12" s="74" t="n">
        <x:v>0</x:v>
      </x:c>
      <x:c r="Q12" s="74" t="n">
        <x:v>0</x:v>
      </x:c>
      <x:c r="R12" s="74" t="n">
        <x:v>0</x:v>
      </x:c>
      <x:c r="S12" s="74" t="n">
        <x:v>0</x:v>
      </x:c>
    </x:row>
    <x:row r="13" ht="27" customHeight="1">
      <x:c r="A13" s="36" t="str"/>
      <x:c r="B13" s="36" t="str">
        <x:v>HU-02.02</x:v>
      </x:c>
      <x:c r="C13" s="37" t="str">
        <x:v>Implementar servicio de catálogo sin mutar los datos originales</x:v>
      </x:c>
      <x:c r="D13" s="36" t="str">
        <x:v>David Ricardo Carvajal Barragán</x:v>
      </x:c>
      <x:c r="E13" s="30" t="str">
        <x:v>DONE</x:v>
      </x:c>
      <x:c r="F13" s="75" t="n">
        <x:v>6</x:v>
      </x:c>
      <x:c r="G13" s="75" t="n">
        <x:f>SUM(H13:S13)</x:f>
        <x:v>7</x:v>
      </x:c>
      <x:c r="H13" s="75" t="n">
        <x:v>0</x:v>
      </x:c>
      <x:c r="I13" s="75" t="n">
        <x:v>6</x:v>
      </x:c>
      <x:c r="J13" s="75" t="n">
        <x:v>1</x:v>
      </x:c>
      <x:c r="K13" s="75" t="n">
        <x:v>0</x:v>
      </x:c>
      <x:c r="L13" s="75" t="n">
        <x:v>0</x:v>
      </x:c>
      <x:c r="M13" s="75" t="n">
        <x:v>0</x:v>
      </x:c>
      <x:c r="N13" s="75" t="n">
        <x:v>0</x:v>
      </x:c>
      <x:c r="O13" s="75" t="n">
        <x:v>0</x:v>
      </x:c>
      <x:c r="P13" s="75" t="n">
        <x:v>0</x:v>
      </x:c>
      <x:c r="Q13" s="75" t="n">
        <x:v>0</x:v>
      </x:c>
      <x:c r="R13" s="75" t="n">
        <x:v>0</x:v>
      </x:c>
      <x:c r="S13" s="75" t="n">
        <x:v>0</x:v>
      </x:c>
    </x:row>
    <x:row r="14" ht="27" customHeight="1">
      <x:c r="A14" s="28" t="str"/>
      <x:c r="B14" s="28" t="str">
        <x:v>HU-02.03</x:v>
      </x:c>
      <x:c r="C14" s="29" t="str">
        <x:v>Crear endpoints de salud, consulta y opciones con respuestas consistentes</x:v>
      </x:c>
      <x:c r="D14" s="28" t="str">
        <x:v>Juan Pablo Arenas Avendaño</x:v>
      </x:c>
      <x:c r="E14" s="30" t="str">
        <x:v>DONE</x:v>
      </x:c>
      <x:c r="F14" s="74" t="n">
        <x:v>3</x:v>
      </x:c>
      <x:c r="G14" s="74" t="n">
        <x:f>SUM(H14:S14)</x:f>
        <x:v>3</x:v>
      </x:c>
      <x:c r="H14" s="74" t="n">
        <x:v>0</x:v>
      </x:c>
      <x:c r="I14" s="74" t="n">
        <x:v>0</x:v>
      </x:c>
      <x:c r="J14" s="74" t="n">
        <x:v>3</x:v>
      </x:c>
      <x:c r="K14" s="74" t="n">
        <x:v>0</x:v>
      </x:c>
      <x:c r="L14" s="74" t="n">
        <x:v>0</x:v>
      </x:c>
      <x:c r="M14" s="74" t="n">
        <x:v>0</x:v>
      </x:c>
      <x:c r="N14" s="74" t="n">
        <x:v>0</x:v>
      </x:c>
      <x:c r="O14" s="74" t="n">
        <x:v>0</x:v>
      </x:c>
      <x:c r="P14" s="74" t="n">
        <x:v>0</x:v>
      </x:c>
      <x:c r="Q14" s="74" t="n">
        <x:v>0</x:v>
      </x:c>
      <x:c r="R14" s="74" t="n">
        <x:v>0</x:v>
      </x:c>
      <x:c r="S14" s="74" t="n">
        <x:v>0</x:v>
      </x:c>
    </x:row>
    <x:row r="15" ht="22.5" customHeight="1">
      <x:c r="A15" s="41" t="str">
        <x:v>HU-03</x:v>
      </x:c>
      <x:c r="B15" s="20" t="str"/>
      <x:c r="C15" s="20" t="str">
        <x:v>Buscar mascotas por nombre de forma tolerante</x:v>
      </x:c>
      <x:c r="D15" s="20" t="str">
        <x:v>David Ricardo Carvajal Barragán</x:v>
      </x:c>
      <x:c r="E15" s="20" t="str">
        <x:v>DONE</x:v>
      </x:c>
      <x:c r="F15" s="73" t="n">
        <x:f>SUM(F16:F18)</x:f>
        <x:v>15</x:v>
      </x:c>
      <x:c r="G15" s="73" t="n">
        <x:f>SUM(G16:G18)</x:f>
        <x:v>16</x:v>
      </x:c>
      <x:c r="H15" s="73" t="n">
        <x:f>SUM(H16:H18)</x:f>
        <x:v>0</x:v>
      </x:c>
      <x:c r="I15" s="73" t="n">
        <x:f>SUM(I16:I18)</x:f>
        <x:v>0</x:v>
      </x:c>
      <x:c r="J15" s="73" t="n">
        <x:f>SUM(J16:J18)</x:f>
        <x:v>6</x:v>
      </x:c>
      <x:c r="K15" s="73" t="n">
        <x:f>SUM(K16:K18)</x:f>
        <x:v>10</x:v>
      </x:c>
      <x:c r="L15" s="73" t="n">
        <x:f>SUM(L16:L18)</x:f>
        <x:v>0</x:v>
      </x:c>
      <x:c r="M15" s="73" t="n">
        <x:f>SUM(M16:M18)</x:f>
        <x:v>0</x:v>
      </x:c>
      <x:c r="N15" s="73" t="n">
        <x:f>SUM(N16:N18)</x:f>
        <x:v>0</x:v>
      </x:c>
      <x:c r="O15" s="73" t="n">
        <x:f>SUM(O16:O18)</x:f>
        <x:v>0</x:v>
      </x:c>
      <x:c r="P15" s="73" t="n">
        <x:f>SUM(P16:P18)</x:f>
        <x:v>0</x:v>
      </x:c>
      <x:c r="Q15" s="73" t="n">
        <x:f>SUM(Q16:Q18)</x:f>
        <x:v>0</x:v>
      </x:c>
      <x:c r="R15" s="73" t="n">
        <x:f>SUM(R16:R18)</x:f>
        <x:v>0</x:v>
      </x:c>
      <x:c r="S15" s="73" t="n">
        <x:f>SUM(S16:S18)</x:f>
        <x:v>0</x:v>
      </x:c>
    </x:row>
    <x:row r="16" ht="27" customHeight="1">
      <x:c r="A16" s="28" t="str"/>
      <x:c r="B16" s="28" t="str">
        <x:v>HU-03.01</x:v>
      </x:c>
      <x:c r="C16" s="29" t="str">
        <x:v>Validar parámetros y normalizar búsquedas sin distinguir mayúsculas ni tildes</x:v>
      </x:c>
      <x:c r="D16" s="28" t="str">
        <x:v>David Ricardo Carvajal Barragán</x:v>
      </x:c>
      <x:c r="E16" s="30" t="str">
        <x:v>DONE</x:v>
      </x:c>
      <x:c r="F16" s="74" t="n">
        <x:v>6</x:v>
      </x:c>
      <x:c r="G16" s="74" t="n">
        <x:f>SUM(H16:S16)</x:f>
        <x:v>6</x:v>
      </x:c>
      <x:c r="H16" s="74" t="n">
        <x:v>0</x:v>
      </x:c>
      <x:c r="I16" s="74" t="n">
        <x:v>0</x:v>
      </x:c>
      <x:c r="J16" s="74" t="n">
        <x:v>6</x:v>
      </x:c>
      <x:c r="K16" s="74" t="n">
        <x:v>0</x:v>
      </x:c>
      <x:c r="L16" s="74" t="n">
        <x:v>0</x:v>
      </x:c>
      <x:c r="M16" s="74" t="n">
        <x:v>0</x:v>
      </x:c>
      <x:c r="N16" s="74" t="n">
        <x:v>0</x:v>
      </x:c>
      <x:c r="O16" s="74" t="n">
        <x:v>0</x:v>
      </x:c>
      <x:c r="P16" s="74" t="n">
        <x:v>0</x:v>
      </x:c>
      <x:c r="Q16" s="74" t="n">
        <x:v>0</x:v>
      </x:c>
      <x:c r="R16" s="74" t="n">
        <x:v>0</x:v>
      </x:c>
      <x:c r="S16" s="74" t="n">
        <x:v>0</x:v>
      </x:c>
    </x:row>
    <x:row r="17" ht="27" customHeight="1">
      <x:c r="A17" s="36" t="str"/>
      <x:c r="B17" s="36" t="str">
        <x:v>HU-03.02</x:v>
      </x:c>
      <x:c r="C17" s="37" t="str">
        <x:v>Consumir la API con debounce de 300 ms y cancelación de solicitudes obsoletas</x:v>
      </x:c>
      <x:c r="D17" s="36" t="str">
        <x:v>Juan Pablo Arenas Avendaño</x:v>
      </x:c>
      <x:c r="E17" s="30" t="str">
        <x:v>DONE</x:v>
      </x:c>
      <x:c r="F17" s="75" t="n">
        <x:v>6</x:v>
      </x:c>
      <x:c r="G17" s="75" t="n">
        <x:f>SUM(H17:S17)</x:f>
        <x:v>7</x:v>
      </x:c>
      <x:c r="H17" s="75" t="n">
        <x:v>0</x:v>
      </x:c>
      <x:c r="I17" s="75" t="n">
        <x:v>0</x:v>
      </x:c>
      <x:c r="J17" s="75" t="n">
        <x:v>0</x:v>
      </x:c>
      <x:c r="K17" s="75" t="n">
        <x:v>7</x:v>
      </x:c>
      <x:c r="L17" s="75" t="n">
        <x:v>0</x:v>
      </x:c>
      <x:c r="M17" s="75" t="n">
        <x:v>0</x:v>
      </x:c>
      <x:c r="N17" s="75" t="n">
        <x:v>0</x:v>
      </x:c>
      <x:c r="O17" s="75" t="n">
        <x:v>0</x:v>
      </x:c>
      <x:c r="P17" s="75" t="n">
        <x:v>0</x:v>
      </x:c>
      <x:c r="Q17" s="75" t="n">
        <x:v>0</x:v>
      </x:c>
      <x:c r="R17" s="75" t="n">
        <x:v>0</x:v>
      </x:c>
      <x:c r="S17" s="75" t="n">
        <x:v>0</x:v>
      </x:c>
    </x:row>
    <x:row r="18" ht="27" customHeight="1">
      <x:c r="A18" s="28" t="str"/>
      <x:c r="B18" s="28" t="str">
        <x:v>HU-03.03</x:v>
      </x:c>
      <x:c r="C18" s="29" t="str">
        <x:v>Verificar búsquedas exactas, parciales, vacías y con espacios externos</x:v>
      </x:c>
      <x:c r="D18" s="28" t="str">
        <x:v>David Ricardo Carvajal Barragán</x:v>
      </x:c>
      <x:c r="E18" s="30" t="str">
        <x:v>DONE</x:v>
      </x:c>
      <x:c r="F18" s="74" t="n">
        <x:v>3</x:v>
      </x:c>
      <x:c r="G18" s="74" t="n">
        <x:f>SUM(H18:S18)</x:f>
        <x:v>3</x:v>
      </x:c>
      <x:c r="H18" s="74" t="n">
        <x:v>0</x:v>
      </x:c>
      <x:c r="I18" s="74" t="n">
        <x:v>0</x:v>
      </x:c>
      <x:c r="J18" s="74" t="n">
        <x:v>0</x:v>
      </x:c>
      <x:c r="K18" s="74" t="n">
        <x:v>3</x:v>
      </x:c>
      <x:c r="L18" s="74" t="n">
        <x:v>0</x:v>
      </x:c>
      <x:c r="M18" s="74" t="n">
        <x:v>0</x:v>
      </x:c>
      <x:c r="N18" s="74" t="n">
        <x:v>0</x:v>
      </x:c>
      <x:c r="O18" s="74" t="n">
        <x:v>0</x:v>
      </x:c>
      <x:c r="P18" s="74" t="n">
        <x:v>0</x:v>
      </x:c>
      <x:c r="Q18" s="74" t="n">
        <x:v>0</x:v>
      </x:c>
      <x:c r="R18" s="74" t="n">
        <x:v>0</x:v>
      </x:c>
      <x:c r="S18" s="74" t="n">
        <x:v>0</x:v>
      </x:c>
    </x:row>
    <x:row r="19" ht="22.5" customHeight="1">
      <x:c r="A19" s="43" t="str">
        <x:v>HU-04</x:v>
      </x:c>
      <x:c r="B19" s="20" t="str"/>
      <x:c r="C19" s="20" t="str">
        <x:v>Filtrar mascotas por especie y rareza</x:v>
      </x:c>
      <x:c r="D19" s="20" t="str">
        <x:v>Juan Pablo Arenas Avendaño</x:v>
      </x:c>
      <x:c r="E19" s="20" t="str">
        <x:v>DONE</x:v>
      </x:c>
      <x:c r="F19" s="73" t="n">
        <x:f>SUM(F20:F22)</x:f>
        <x:v>15</x:v>
      </x:c>
      <x:c r="G19" s="73" t="n">
        <x:f>SUM(G20:G22)</x:f>
        <x:v>14</x:v>
      </x:c>
      <x:c r="H19" s="73" t="n">
        <x:f>SUM(H20:H22)</x:f>
        <x:v>0</x:v>
      </x:c>
      <x:c r="I19" s="73" t="n">
        <x:f>SUM(I20:I22)</x:f>
        <x:v>0</x:v>
      </x:c>
      <x:c r="J19" s="73" t="n">
        <x:f>SUM(J20:J22)</x:f>
        <x:v>0</x:v>
      </x:c>
      <x:c r="K19" s="73" t="n">
        <x:f>SUM(K20:K22)</x:f>
        <x:v>1</x:v>
      </x:c>
      <x:c r="L19" s="73" t="n">
        <x:f>SUM(L20:L22)</x:f>
        <x:v>9</x:v>
      </x:c>
      <x:c r="M19" s="73" t="n">
        <x:f>SUM(M20:M22)</x:f>
        <x:v>4</x:v>
      </x:c>
      <x:c r="N19" s="73" t="n">
        <x:f>SUM(N20:N22)</x:f>
        <x:v>0</x:v>
      </x:c>
      <x:c r="O19" s="73" t="n">
        <x:f>SUM(O20:O22)</x:f>
        <x:v>0</x:v>
      </x:c>
      <x:c r="P19" s="73" t="n">
        <x:f>SUM(P20:P22)</x:f>
        <x:v>0</x:v>
      </x:c>
      <x:c r="Q19" s="73" t="n">
        <x:f>SUM(Q20:Q22)</x:f>
        <x:v>0</x:v>
      </x:c>
      <x:c r="R19" s="73" t="n">
        <x:f>SUM(R20:R22)</x:f>
        <x:v>0</x:v>
      </x:c>
      <x:c r="S19" s="73" t="n">
        <x:f>SUM(S20:S22)</x:f>
        <x:v>0</x:v>
      </x:c>
    </x:row>
    <x:row r="20" ht="27" customHeight="1">
      <x:c r="A20" s="28" t="str"/>
      <x:c r="B20" s="28" t="str">
        <x:v>HU-04.01</x:v>
      </x:c>
      <x:c r="C20" s="29" t="str">
        <x:v>Construir selectores dinámicos con opciones obtenidas desde el backend</x:v>
      </x:c>
      <x:c r="D20" s="28" t="str">
        <x:v>Juan Pablo Arenas Avendaño</x:v>
      </x:c>
      <x:c r="E20" s="30" t="str">
        <x:v>DONE</x:v>
      </x:c>
      <x:c r="F20" s="74" t="n">
        <x:v>6</x:v>
      </x:c>
      <x:c r="G20" s="74" t="n">
        <x:f>SUM(H20:S20)</x:f>
        <x:v>6</x:v>
      </x:c>
      <x:c r="H20" s="74" t="n">
        <x:v>0</x:v>
      </x:c>
      <x:c r="I20" s="74" t="n">
        <x:v>0</x:v>
      </x:c>
      <x:c r="J20" s="74" t="n">
        <x:v>0</x:v>
      </x:c>
      <x:c r="K20" s="74" t="n">
        <x:v>1</x:v>
      </x:c>
      <x:c r="L20" s="74" t="n">
        <x:v>5</x:v>
      </x:c>
      <x:c r="M20" s="74" t="n">
        <x:v>0</x:v>
      </x:c>
      <x:c r="N20" s="74" t="n">
        <x:v>0</x:v>
      </x:c>
      <x:c r="O20" s="74" t="n">
        <x:v>0</x:v>
      </x:c>
      <x:c r="P20" s="74" t="n">
        <x:v>0</x:v>
      </x:c>
      <x:c r="Q20" s="74" t="n">
        <x:v>0</x:v>
      </x:c>
      <x:c r="R20" s="74" t="n">
        <x:v>0</x:v>
      </x:c>
      <x:c r="S20" s="74" t="n">
        <x:v>0</x:v>
      </x:c>
    </x:row>
    <x:row r="21" ht="27" customHeight="1">
      <x:c r="A21" s="36" t="str"/>
      <x:c r="B21" s="36" t="str">
        <x:v>HU-04.02</x:v>
      </x:c>
      <x:c r="C21" s="37" t="str">
        <x:v>Aplicar filtros combinables de especie y rareza junto con la búsqueda</x:v>
      </x:c>
      <x:c r="D21" s="36" t="str">
        <x:v>David Ricardo Carvajal Barragán</x:v>
      </x:c>
      <x:c r="E21" s="30" t="str">
        <x:v>DONE</x:v>
      </x:c>
      <x:c r="F21" s="75" t="n">
        <x:v>6</x:v>
      </x:c>
      <x:c r="G21" s="75" t="n">
        <x:f>SUM(H21:S21)</x:f>
        <x:v>6</x:v>
      </x:c>
      <x:c r="H21" s="75" t="n">
        <x:v>0</x:v>
      </x:c>
      <x:c r="I21" s="75" t="n">
        <x:v>0</x:v>
      </x:c>
      <x:c r="J21" s="75" t="n">
        <x:v>0</x:v>
      </x:c>
      <x:c r="K21" s="75" t="n">
        <x:v>0</x:v>
      </x:c>
      <x:c r="L21" s="75" t="n">
        <x:v>4</x:v>
      </x:c>
      <x:c r="M21" s="75" t="n">
        <x:v>2</x:v>
      </x:c>
      <x:c r="N21" s="75" t="n">
        <x:v>0</x:v>
      </x:c>
      <x:c r="O21" s="75" t="n">
        <x:v>0</x:v>
      </x:c>
      <x:c r="P21" s="75" t="n">
        <x:v>0</x:v>
      </x:c>
      <x:c r="Q21" s="75" t="n">
        <x:v>0</x:v>
      </x:c>
      <x:c r="R21" s="75" t="n">
        <x:v>0</x:v>
      </x:c>
      <x:c r="S21" s="75" t="n">
        <x:v>0</x:v>
      </x:c>
    </x:row>
    <x:row r="22" ht="27" customHeight="1">
      <x:c r="A22" s="28" t="str"/>
      <x:c r="B22" s="28" t="str">
        <x:v>HU-04.03</x:v>
      </x:c>
      <x:c r="C22" s="29" t="str">
        <x:v>Implementar limpieza de filtros y estado vacío con acción de recuperación</x:v>
      </x:c>
      <x:c r="D22" s="28" t="str">
        <x:v>Juan Pablo Arenas Avendaño</x:v>
      </x:c>
      <x:c r="E22" s="30" t="str">
        <x:v>DONE</x:v>
      </x:c>
      <x:c r="F22" s="74" t="n">
        <x:v>3</x:v>
      </x:c>
      <x:c r="G22" s="74" t="n">
        <x:f>SUM(H22:S22)</x:f>
        <x:v>2</x:v>
      </x:c>
      <x:c r="H22" s="74" t="n">
        <x:v>0</x:v>
      </x:c>
      <x:c r="I22" s="74" t="n">
        <x:v>0</x:v>
      </x:c>
      <x:c r="J22" s="74" t="n">
        <x:v>0</x:v>
      </x:c>
      <x:c r="K22" s="74" t="n">
        <x:v>0</x:v>
      </x:c>
      <x:c r="L22" s="74" t="n">
        <x:v>0</x:v>
      </x:c>
      <x:c r="M22" s="74" t="n">
        <x:v>2</x:v>
      </x:c>
      <x:c r="N22" s="74" t="n">
        <x:v>0</x:v>
      </x:c>
      <x:c r="O22" s="74" t="n">
        <x:v>0</x:v>
      </x:c>
      <x:c r="P22" s="74" t="n">
        <x:v>0</x:v>
      </x:c>
      <x:c r="Q22" s="74" t="n">
        <x:v>0</x:v>
      </x:c>
      <x:c r="R22" s="74" t="n">
        <x:v>0</x:v>
      </x:c>
      <x:c r="S22" s="74" t="n">
        <x:v>0</x:v>
      </x:c>
    </x:row>
    <x:row r="23" ht="22.5" customHeight="1">
      <x:c r="A23" s="45" t="str">
        <x:v>HU-05</x:v>
      </x:c>
      <x:c r="B23" s="20" t="str"/>
      <x:c r="C23" s="20" t="str">
        <x:v>Ordenar por precio y restablecer el catálogo</x:v>
      </x:c>
      <x:c r="D23" s="20" t="str">
        <x:v>David Ricardo Carvajal Barragán</x:v>
      </x:c>
      <x:c r="E23" s="20" t="str">
        <x:v>DONE</x:v>
      </x:c>
      <x:c r="F23" s="73" t="n">
        <x:f>SUM(F24:F26)</x:f>
        <x:v>9</x:v>
      </x:c>
      <x:c r="G23" s="73" t="n">
        <x:f>SUM(G24:G26)</x:f>
        <x:v>9</x:v>
      </x:c>
      <x:c r="H23" s="73" t="n">
        <x:f>SUM(H24:H26)</x:f>
        <x:v>0</x:v>
      </x:c>
      <x:c r="I23" s="73" t="n">
        <x:f>SUM(I24:I26)</x:f>
        <x:v>0</x:v>
      </x:c>
      <x:c r="J23" s="73" t="n">
        <x:f>SUM(J24:J26)</x:f>
        <x:v>0</x:v>
      </x:c>
      <x:c r="K23" s="73" t="n">
        <x:f>SUM(K24:K26)</x:f>
        <x:v>0</x:v>
      </x:c>
      <x:c r="L23" s="73" t="n">
        <x:f>SUM(L24:L26)</x:f>
        <x:v>0</x:v>
      </x:c>
      <x:c r="M23" s="73" t="n">
        <x:f>SUM(M24:M26)</x:f>
        <x:v>6</x:v>
      </x:c>
      <x:c r="N23" s="73" t="n">
        <x:f>SUM(N24:N26)</x:f>
        <x:v>3</x:v>
      </x:c>
      <x:c r="O23" s="73" t="n">
        <x:f>SUM(O24:O26)</x:f>
        <x:v>0</x:v>
      </x:c>
      <x:c r="P23" s="73" t="n">
        <x:f>SUM(P24:P26)</x:f>
        <x:v>0</x:v>
      </x:c>
      <x:c r="Q23" s="73" t="n">
        <x:f>SUM(Q24:Q26)</x:f>
        <x:v>0</x:v>
      </x:c>
      <x:c r="R23" s="73" t="n">
        <x:f>SUM(R24:R26)</x:f>
        <x:v>0</x:v>
      </x:c>
      <x:c r="S23" s="73" t="n">
        <x:f>SUM(S24:S26)</x:f>
        <x:v>0</x:v>
      </x:c>
    </x:row>
    <x:row r="24" ht="27" customHeight="1">
      <x:c r="A24" s="28" t="str"/>
      <x:c r="B24" s="28" t="str">
        <x:v>HU-05.01</x:v>
      </x:c>
      <x:c r="C24" s="29" t="str">
        <x:v>Implementar ordenamiento estable por precio ascendente y descendente</x:v>
      </x:c>
      <x:c r="D24" s="28" t="str">
        <x:v>David Ricardo Carvajal Barragán</x:v>
      </x:c>
      <x:c r="E24" s="30" t="str">
        <x:v>DONE</x:v>
      </x:c>
      <x:c r="F24" s="74" t="n">
        <x:v>3</x:v>
      </x:c>
      <x:c r="G24" s="74" t="n">
        <x:f>SUM(H24:S24)</x:f>
        <x:v>3</x:v>
      </x:c>
      <x:c r="H24" s="74" t="n">
        <x:v>0</x:v>
      </x:c>
      <x:c r="I24" s="74" t="n">
        <x:v>0</x:v>
      </x:c>
      <x:c r="J24" s="74" t="n">
        <x:v>0</x:v>
      </x:c>
      <x:c r="K24" s="74" t="n">
        <x:v>0</x:v>
      </x:c>
      <x:c r="L24" s="74" t="n">
        <x:v>0</x:v>
      </x:c>
      <x:c r="M24" s="74" t="n">
        <x:v>3</x:v>
      </x:c>
      <x:c r="N24" s="74" t="n">
        <x:v>0</x:v>
      </x:c>
      <x:c r="O24" s="74" t="n">
        <x:v>0</x:v>
      </x:c>
      <x:c r="P24" s="74" t="n">
        <x:v>0</x:v>
      </x:c>
      <x:c r="Q24" s="74" t="n">
        <x:v>0</x:v>
      </x:c>
      <x:c r="R24" s="74" t="n">
        <x:v>0</x:v>
      </x:c>
      <x:c r="S24" s="74" t="n">
        <x:v>0</x:v>
      </x:c>
    </x:row>
    <x:row r="25" ht="27" customHeight="1">
      <x:c r="A25" s="36" t="str"/>
      <x:c r="B25" s="36" t="str">
        <x:v>HU-05.02</x:v>
      </x:c>
      <x:c r="C25" s="37" t="str">
        <x:v>Agregar selector de orden, contador de resultados y botón Limpiar</x:v>
      </x:c>
      <x:c r="D25" s="36" t="str">
        <x:v>Juan Pablo Arenas Avendaño</x:v>
      </x:c>
      <x:c r="E25" s="30" t="str">
        <x:v>DONE</x:v>
      </x:c>
      <x:c r="F25" s="75" t="n">
        <x:v>3</x:v>
      </x:c>
      <x:c r="G25" s="75" t="n">
        <x:f>SUM(H25:S25)</x:f>
        <x:v>3</x:v>
      </x:c>
      <x:c r="H25" s="75" t="n">
        <x:v>0</x:v>
      </x:c>
      <x:c r="I25" s="75" t="n">
        <x:v>0</x:v>
      </x:c>
      <x:c r="J25" s="75" t="n">
        <x:v>0</x:v>
      </x:c>
      <x:c r="K25" s="75" t="n">
        <x:v>0</x:v>
      </x:c>
      <x:c r="L25" s="75" t="n">
        <x:v>0</x:v>
      </x:c>
      <x:c r="M25" s="75" t="n">
        <x:v>3</x:v>
      </x:c>
      <x:c r="N25" s="75" t="n">
        <x:v>0</x:v>
      </x:c>
      <x:c r="O25" s="75" t="n">
        <x:v>0</x:v>
      </x:c>
      <x:c r="P25" s="75" t="n">
        <x:v>0</x:v>
      </x:c>
      <x:c r="Q25" s="75" t="n">
        <x:v>0</x:v>
      </x:c>
      <x:c r="R25" s="75" t="n">
        <x:v>0</x:v>
      </x:c>
      <x:c r="S25" s="75" t="n">
        <x:v>0</x:v>
      </x:c>
      <x:c r="U25" s="65" t="str">
        <x:v>Día</x:v>
      </x:c>
      <x:c r="V25" s="65" t="str">
        <x:v>Tiempo proyectado</x:v>
      </x:c>
      <x:c r="W25" s="65" t="str">
        <x:v>Tiempo real</x:v>
      </x:c>
    </x:row>
    <x:row r="26" ht="27" customHeight="1">
      <x:c r="A26" s="28" t="str"/>
      <x:c r="B26" s="28" t="str">
        <x:v>HU-05.03</x:v>
      </x:c>
      <x:c r="C26" s="29" t="str">
        <x:v>Probar búsqueda, filtros y ordenamiento funcionando conjuntamente</x:v>
      </x:c>
      <x:c r="D26" s="28" t="str">
        <x:v>David Ricardo Carvajal Barragán</x:v>
      </x:c>
      <x:c r="E26" s="30" t="str">
        <x:v>DONE</x:v>
      </x:c>
      <x:c r="F26" s="74" t="n">
        <x:v>3</x:v>
      </x:c>
      <x:c r="G26" s="74" t="n">
        <x:f>SUM(H26:S26)</x:f>
        <x:v>3</x:v>
      </x:c>
      <x:c r="H26" s="74" t="n">
        <x:v>0</x:v>
      </x:c>
      <x:c r="I26" s="74" t="n">
        <x:v>0</x:v>
      </x:c>
      <x:c r="J26" s="74" t="n">
        <x:v>0</x:v>
      </x:c>
      <x:c r="K26" s="74" t="n">
        <x:v>0</x:v>
      </x:c>
      <x:c r="L26" s="74" t="n">
        <x:v>0</x:v>
      </x:c>
      <x:c r="M26" s="74" t="n">
        <x:v>0</x:v>
      </x:c>
      <x:c r="N26" s="74" t="n">
        <x:v>3</x:v>
      </x:c>
      <x:c r="O26" s="74" t="n">
        <x:v>0</x:v>
      </x:c>
      <x:c r="P26" s="74" t="n">
        <x:v>0</x:v>
      </x:c>
      <x:c r="Q26" s="74" t="n">
        <x:v>0</x:v>
      </x:c>
      <x:c r="R26" s="74" t="n">
        <x:v>0</x:v>
      </x:c>
      <x:c r="S26" s="74" t="n">
        <x:v>0</x:v>
      </x:c>
      <x:c r="U26" s="68" t="str">
        <x:v>Día 0</x:v>
      </x:c>
      <x:c r="V26" s="69" t="n">
        <x:f>$F$4</x:f>
        <x:v>120</x:v>
      </x:c>
      <x:c r="W26" s="69" t="n">
        <x:f>$G$5</x:f>
        <x:v>120</x:v>
      </x:c>
    </x:row>
    <x:row r="27" ht="22.5" customHeight="1">
      <x:c r="A27" s="47" t="str">
        <x:v>HU-06</x:v>
      </x:c>
      <x:c r="B27" s="20" t="str"/>
      <x:c r="C27" s="20" t="str">
        <x:v>Consultar el catálogo en una interfaz responsive y accesible</x:v>
      </x:c>
      <x:c r="D27" s="20" t="str">
        <x:v>Juan Pablo Arenas Avendaño</x:v>
      </x:c>
      <x:c r="E27" s="20" t="str">
        <x:v>DONE</x:v>
      </x:c>
      <x:c r="F27" s="73" t="n">
        <x:f>SUM(F28:F30)</x:f>
        <x:v>24</x:v>
      </x:c>
      <x:c r="G27" s="73" t="n">
        <x:f>SUM(G28:G30)</x:f>
        <x:v>25</x:v>
      </x:c>
      <x:c r="H27" s="73" t="n">
        <x:f>SUM(H28:H30)</x:f>
        <x:v>0</x:v>
      </x:c>
      <x:c r="I27" s="73" t="n">
        <x:f>SUM(I28:I30)</x:f>
        <x:v>0</x:v>
      </x:c>
      <x:c r="J27" s="73" t="n">
        <x:f>SUM(J28:J30)</x:f>
        <x:v>0</x:v>
      </x:c>
      <x:c r="K27" s="73" t="n">
        <x:f>SUM(K28:K30)</x:f>
        <x:v>0</x:v>
      </x:c>
      <x:c r="L27" s="73" t="n">
        <x:f>SUM(L28:L30)</x:f>
        <x:v>0</x:v>
      </x:c>
      <x:c r="M27" s="73" t="n">
        <x:f>SUM(M28:M30)</x:f>
        <x:v>0</x:v>
      </x:c>
      <x:c r="N27" s="73" t="n">
        <x:f>SUM(N28:N30)</x:f>
        <x:v>8</x:v>
      </x:c>
      <x:c r="O27" s="73" t="n">
        <x:f>SUM(O28:O30)</x:f>
        <x:v>9</x:v>
      </x:c>
      <x:c r="P27" s="73" t="n">
        <x:f>SUM(P28:P30)</x:f>
        <x:v>8</x:v>
      </x:c>
      <x:c r="Q27" s="73" t="n">
        <x:f>SUM(Q28:Q30)</x:f>
        <x:v>0</x:v>
      </x:c>
      <x:c r="R27" s="73" t="n">
        <x:f>SUM(R28:R30)</x:f>
        <x:v>0</x:v>
      </x:c>
      <x:c r="S27" s="73" t="n">
        <x:f>SUM(S28:S30)</x:f>
        <x:v>0</x:v>
      </x:c>
      <x:c r="U27" s="68" t="str">
        <x:v>Día 1</x:v>
      </x:c>
      <x:c r="V27" s="69" t="n">
        <x:f>H4</x:f>
        <x:v>110</x:v>
      </x:c>
      <x:c r="W27" s="69" t="n">
        <x:f>H5</x:f>
        <x:v>112</x:v>
      </x:c>
    </x:row>
    <x:row r="28" ht="27" customHeight="1">
      <x:c r="A28" s="28" t="str"/>
      <x:c r="B28" s="28" t="str">
        <x:v>HU-06.01</x:v>
      </x:c>
      <x:c r="C28" s="29" t="str">
        <x:v>Diseñar encabezado, panel de filtros, tarjetas y cuadrícula responsive</x:v>
      </x:c>
      <x:c r="D28" s="28" t="str">
        <x:v>Juan Pablo Arenas Avendaño</x:v>
      </x:c>
      <x:c r="E28" s="30" t="str">
        <x:v>DONE</x:v>
      </x:c>
      <x:c r="F28" s="74" t="n">
        <x:v>9</x:v>
      </x:c>
      <x:c r="G28" s="74" t="n">
        <x:f>SUM(H28:S28)</x:f>
        <x:v>9</x:v>
      </x:c>
      <x:c r="H28" s="74" t="n">
        <x:v>0</x:v>
      </x:c>
      <x:c r="I28" s="74" t="n">
        <x:v>0</x:v>
      </x:c>
      <x:c r="J28" s="74" t="n">
        <x:v>0</x:v>
      </x:c>
      <x:c r="K28" s="74" t="n">
        <x:v>0</x:v>
      </x:c>
      <x:c r="L28" s="74" t="n">
        <x:v>0</x:v>
      </x:c>
      <x:c r="M28" s="74" t="n">
        <x:v>0</x:v>
      </x:c>
      <x:c r="N28" s="74" t="n">
        <x:v>8</x:v>
      </x:c>
      <x:c r="O28" s="74" t="n">
        <x:v>1</x:v>
      </x:c>
      <x:c r="P28" s="74" t="n">
        <x:v>0</x:v>
      </x:c>
      <x:c r="Q28" s="74" t="n">
        <x:v>0</x:v>
      </x:c>
      <x:c r="R28" s="74" t="n">
        <x:v>0</x:v>
      </x:c>
      <x:c r="S28" s="74" t="n">
        <x:v>0</x:v>
      </x:c>
      <x:c r="U28" s="68" t="str">
        <x:v>Día 2</x:v>
      </x:c>
      <x:c r="V28" s="69" t="n">
        <x:f>I4</x:f>
        <x:v>100</x:v>
      </x:c>
      <x:c r="W28" s="69" t="n">
        <x:f>I5</x:f>
        <x:v>100</x:v>
      </x:c>
    </x:row>
    <x:row r="29" ht="27" customHeight="1">
      <x:c r="A29" s="36" t="str"/>
      <x:c r="B29" s="36" t="str">
        <x:v>HU-06.02</x:v>
      </x:c>
      <x:c r="C29" s="37" t="str">
        <x:v>Incorporar navegación por teclado, foco visible y movimiento reducido</x:v>
      </x:c>
      <x:c r="D29" s="36" t="str">
        <x:v>David Ricardo Carvajal Barragán</x:v>
      </x:c>
      <x:c r="E29" s="30" t="str">
        <x:v>DONE</x:v>
      </x:c>
      <x:c r="F29" s="75" t="n">
        <x:v>9</x:v>
      </x:c>
      <x:c r="G29" s="75" t="n">
        <x:f>SUM(H29:S29)</x:f>
        <x:v>10</x:v>
      </x:c>
      <x:c r="H29" s="75" t="n">
        <x:v>0</x:v>
      </x:c>
      <x:c r="I29" s="75" t="n">
        <x:v>0</x:v>
      </x:c>
      <x:c r="J29" s="75" t="n">
        <x:v>0</x:v>
      </x:c>
      <x:c r="K29" s="75" t="n">
        <x:v>0</x:v>
      </x:c>
      <x:c r="L29" s="75" t="n">
        <x:v>0</x:v>
      </x:c>
      <x:c r="M29" s="75" t="n">
        <x:v>0</x:v>
      </x:c>
      <x:c r="N29" s="75" t="n">
        <x:v>0</x:v>
      </x:c>
      <x:c r="O29" s="75" t="n">
        <x:v>8</x:v>
      </x:c>
      <x:c r="P29" s="75" t="n">
        <x:v>2</x:v>
      </x:c>
      <x:c r="Q29" s="75" t="n">
        <x:v>0</x:v>
      </x:c>
      <x:c r="R29" s="75" t="n">
        <x:v>0</x:v>
      </x:c>
      <x:c r="S29" s="75" t="n">
        <x:v>0</x:v>
      </x:c>
      <x:c r="U29" s="68" t="str">
        <x:v>Día 3</x:v>
      </x:c>
      <x:c r="V29" s="69" t="n">
        <x:f>J4</x:f>
        <x:v>90</x:v>
      </x:c>
      <x:c r="W29" s="69" t="n">
        <x:f>J5</x:f>
        <x:v>90</x:v>
      </x:c>
    </x:row>
    <x:row r="30" ht="27" customHeight="1">
      <x:c r="A30" s="28" t="str"/>
      <x:c r="B30" s="28" t="str">
        <x:v>HU-06.03</x:v>
      </x:c>
      <x:c r="C30" s="29" t="str">
        <x:v>Implementar estados de carga, error, reintento y resultados vacíos</x:v>
      </x:c>
      <x:c r="D30" s="28" t="str">
        <x:v>Juan Pablo Arenas Avendaño</x:v>
      </x:c>
      <x:c r="E30" s="30" t="str">
        <x:v>DONE</x:v>
      </x:c>
      <x:c r="F30" s="74" t="n">
        <x:v>6</x:v>
      </x:c>
      <x:c r="G30" s="74" t="n">
        <x:f>SUM(H30:S30)</x:f>
        <x:v>6</x:v>
      </x:c>
      <x:c r="H30" s="74" t="n">
        <x:v>0</x:v>
      </x:c>
      <x:c r="I30" s="74" t="n">
        <x:v>0</x:v>
      </x:c>
      <x:c r="J30" s="74" t="n">
        <x:v>0</x:v>
      </x:c>
      <x:c r="K30" s="74" t="n">
        <x:v>0</x:v>
      </x:c>
      <x:c r="L30" s="74" t="n">
        <x:v>0</x:v>
      </x:c>
      <x:c r="M30" s="74" t="n">
        <x:v>0</x:v>
      </x:c>
      <x:c r="N30" s="74" t="n">
        <x:v>0</x:v>
      </x:c>
      <x:c r="O30" s="74" t="n">
        <x:v>0</x:v>
      </x:c>
      <x:c r="P30" s="74" t="n">
        <x:v>6</x:v>
      </x:c>
      <x:c r="Q30" s="74" t="n">
        <x:v>0</x:v>
      </x:c>
      <x:c r="R30" s="74" t="n">
        <x:v>0</x:v>
      </x:c>
      <x:c r="S30" s="74" t="n">
        <x:v>0</x:v>
      </x:c>
      <x:c r="U30" s="68" t="str">
        <x:v>Día 4</x:v>
      </x:c>
      <x:c r="V30" s="69" t="n">
        <x:f>K4</x:f>
        <x:v>80</x:v>
      </x:c>
      <x:c r="W30" s="69" t="n">
        <x:f>K5</x:f>
        <x:v>79</x:v>
      </x:c>
    </x:row>
    <x:row r="31" ht="22.5" customHeight="1">
      <x:c r="A31" s="49" t="str">
        <x:v>HU-07</x:v>
      </x:c>
      <x:c r="B31" s="20" t="str"/>
      <x:c r="C31" s="20" t="str">
        <x:v>Verificar la calidad técnica y la ejecución en producción</x:v>
      </x:c>
      <x:c r="D31" s="20" t="str">
        <x:v>David Ricardo Carvajal Barragán</x:v>
      </x:c>
      <x:c r="E31" s="20" t="str">
        <x:v>DONE</x:v>
      </x:c>
      <x:c r="F31" s="73" t="n">
        <x:f>SUM(F32:F34)</x:f>
        <x:v>24</x:v>
      </x:c>
      <x:c r="G31" s="73" t="n">
        <x:f>SUM(G32:G34)</x:f>
        <x:v>24</x:v>
      </x:c>
      <x:c r="H31" s="73" t="n">
        <x:f>SUM(H32:H34)</x:f>
        <x:v>0</x:v>
      </x:c>
      <x:c r="I31" s="73" t="n">
        <x:f>SUM(I32:I34)</x:f>
        <x:v>0</x:v>
      </x:c>
      <x:c r="J31" s="73" t="n">
        <x:f>SUM(J32:J34)</x:f>
        <x:v>0</x:v>
      </x:c>
      <x:c r="K31" s="73" t="n">
        <x:f>SUM(K32:K34)</x:f>
        <x:v>0</x:v>
      </x:c>
      <x:c r="L31" s="73" t="n">
        <x:f>SUM(L32:L34)</x:f>
        <x:v>0</x:v>
      </x:c>
      <x:c r="M31" s="73" t="n">
        <x:f>SUM(M32:M34)</x:f>
        <x:v>0</x:v>
      </x:c>
      <x:c r="N31" s="73" t="n">
        <x:f>SUM(N32:N34)</x:f>
        <x:v>0</x:v>
      </x:c>
      <x:c r="O31" s="73" t="n">
        <x:f>SUM(O32:O34)</x:f>
        <x:v>0</x:v>
      </x:c>
      <x:c r="P31" s="73" t="n">
        <x:f>SUM(P32:P34)</x:f>
        <x:v>4</x:v>
      </x:c>
      <x:c r="Q31" s="73" t="n">
        <x:f>SUM(Q32:Q34)</x:f>
        <x:v>8</x:v>
      </x:c>
      <x:c r="R31" s="73" t="n">
        <x:f>SUM(R32:R34)</x:f>
        <x:v>11</x:v>
      </x:c>
      <x:c r="S31" s="73" t="n">
        <x:f>SUM(S32:S34)</x:f>
        <x:v>1</x:v>
      </x:c>
      <x:c r="U31" s="68" t="str">
        <x:v>Día 5</x:v>
      </x:c>
      <x:c r="V31" s="69" t="n">
        <x:f>L4</x:f>
        <x:v>70</x:v>
      </x:c>
      <x:c r="W31" s="69" t="n">
        <x:f>L5</x:f>
        <x:v>70</x:v>
      </x:c>
    </x:row>
    <x:row r="32" ht="27" customHeight="1">
      <x:c r="A32" s="28" t="str"/>
      <x:c r="B32" s="28" t="str">
        <x:v>HU-07.01</x:v>
      </x:c>
      <x:c r="C32" s="29" t="str">
        <x:v>Crear pruebas backend para catálogo, servicio, validación y endpoints</x:v>
      </x:c>
      <x:c r="D32" s="28" t="str">
        <x:v>David Ricardo Carvajal Barragán</x:v>
      </x:c>
      <x:c r="E32" s="30" t="str">
        <x:v>DONE</x:v>
      </x:c>
      <x:c r="F32" s="74" t="n">
        <x:v>9</x:v>
      </x:c>
      <x:c r="G32" s="74" t="n">
        <x:f>SUM(H32:S32)</x:f>
        <x:v>8</x:v>
      </x:c>
      <x:c r="H32" s="74" t="n">
        <x:v>0</x:v>
      </x:c>
      <x:c r="I32" s="74" t="n">
        <x:v>0</x:v>
      </x:c>
      <x:c r="J32" s="74" t="n">
        <x:v>0</x:v>
      </x:c>
      <x:c r="K32" s="74" t="n">
        <x:v>0</x:v>
      </x:c>
      <x:c r="L32" s="74" t="n">
        <x:v>0</x:v>
      </x:c>
      <x:c r="M32" s="74" t="n">
        <x:v>0</x:v>
      </x:c>
      <x:c r="N32" s="74" t="n">
        <x:v>0</x:v>
      </x:c>
      <x:c r="O32" s="74" t="n">
        <x:v>0</x:v>
      </x:c>
      <x:c r="P32" s="74" t="n">
        <x:v>4</x:v>
      </x:c>
      <x:c r="Q32" s="74" t="n">
        <x:v>4</x:v>
      </x:c>
      <x:c r="R32" s="74" t="n">
        <x:v>0</x:v>
      </x:c>
      <x:c r="S32" s="74" t="n">
        <x:v>0</x:v>
      </x:c>
      <x:c r="U32" s="68" t="str">
        <x:v>Día 6</x:v>
      </x:c>
      <x:c r="V32" s="69" t="n">
        <x:f>M4</x:f>
        <x:v>60</x:v>
      </x:c>
      <x:c r="W32" s="69" t="n">
        <x:f>M5</x:f>
        <x:v>60</x:v>
      </x:c>
    </x:row>
    <x:row r="33" ht="27" customHeight="1">
      <x:c r="A33" s="36" t="str"/>
      <x:c r="B33" s="36" t="str">
        <x:v>HU-07.02</x:v>
      </x:c>
      <x:c r="C33" s="37" t="str">
        <x:v>Crear pruebas frontend para renderizado, controles, errores y reintento</x:v>
      </x:c>
      <x:c r="D33" s="36" t="str">
        <x:v>Juan Pablo Arenas Avendaño</x:v>
      </x:c>
      <x:c r="E33" s="30" t="str">
        <x:v>DONE</x:v>
      </x:c>
      <x:c r="F33" s="75" t="n">
        <x:v>9</x:v>
      </x:c>
      <x:c r="G33" s="75" t="n">
        <x:f>SUM(H33:S33)</x:f>
        <x:v>10</x:v>
      </x:c>
      <x:c r="H33" s="75" t="n">
        <x:v>0</x:v>
      </x:c>
      <x:c r="I33" s="75" t="n">
        <x:v>0</x:v>
      </x:c>
      <x:c r="J33" s="75" t="n">
        <x:v>0</x:v>
      </x:c>
      <x:c r="K33" s="75" t="n">
        <x:v>0</x:v>
      </x:c>
      <x:c r="L33" s="75" t="n">
        <x:v>0</x:v>
      </x:c>
      <x:c r="M33" s="75" t="n">
        <x:v>0</x:v>
      </x:c>
      <x:c r="N33" s="75" t="n">
        <x:v>0</x:v>
      </x:c>
      <x:c r="O33" s="75" t="n">
        <x:v>0</x:v>
      </x:c>
      <x:c r="P33" s="75" t="n">
        <x:v>0</x:v>
      </x:c>
      <x:c r="Q33" s="75" t="n">
        <x:v>4</x:v>
      </x:c>
      <x:c r="R33" s="75" t="n">
        <x:v>6</x:v>
      </x:c>
      <x:c r="S33" s="75" t="n">
        <x:v>0</x:v>
      </x:c>
      <x:c r="U33" s="68" t="str">
        <x:v>Día 7</x:v>
      </x:c>
      <x:c r="V33" s="69" t="n">
        <x:f>N4</x:f>
        <x:v>50</x:v>
      </x:c>
      <x:c r="W33" s="69" t="n">
        <x:f>N5</x:f>
        <x:v>49</x:v>
      </x:c>
    </x:row>
    <x:row r="34" ht="27" customHeight="1">
      <x:c r="A34" s="28" t="str"/>
      <x:c r="B34" s="28" t="str">
        <x:v>HU-07.03</x:v>
      </x:c>
      <x:c r="C34" s="29" t="str">
        <x:v>Ejecutar typecheck, lint, pruebas, build, audit y comprobación de producción</x:v>
      </x:c>
      <x:c r="D34" s="28" t="str">
        <x:v>David Ricardo Carvajal Barragán</x:v>
      </x:c>
      <x:c r="E34" s="30" t="str">
        <x:v>DONE</x:v>
      </x:c>
      <x:c r="F34" s="74" t="n">
        <x:v>6</x:v>
      </x:c>
      <x:c r="G34" s="74" t="n">
        <x:f>SUM(H34:S34)</x:f>
        <x:v>6</x:v>
      </x:c>
      <x:c r="H34" s="74" t="n">
        <x:v>0</x:v>
      </x:c>
      <x:c r="I34" s="74" t="n">
        <x:v>0</x:v>
      </x:c>
      <x:c r="J34" s="74" t="n">
        <x:v>0</x:v>
      </x:c>
      <x:c r="K34" s="74" t="n">
        <x:v>0</x:v>
      </x:c>
      <x:c r="L34" s="74" t="n">
        <x:v>0</x:v>
      </x:c>
      <x:c r="M34" s="74" t="n">
        <x:v>0</x:v>
      </x:c>
      <x:c r="N34" s="74" t="n">
        <x:v>0</x:v>
      </x:c>
      <x:c r="O34" s="74" t="n">
        <x:v>0</x:v>
      </x:c>
      <x:c r="P34" s="74" t="n">
        <x:v>0</x:v>
      </x:c>
      <x:c r="Q34" s="74" t="n">
        <x:v>0</x:v>
      </x:c>
      <x:c r="R34" s="74" t="n">
        <x:v>5</x:v>
      </x:c>
      <x:c r="S34" s="74" t="n">
        <x:v>1</x:v>
      </x:c>
      <x:c r="U34" s="68" t="str">
        <x:v>Día 8</x:v>
      </x:c>
      <x:c r="V34" s="69" t="n">
        <x:f>O4</x:f>
        <x:v>40</x:v>
      </x:c>
      <x:c r="W34" s="69" t="n">
        <x:f>O5</x:f>
        <x:v>40</x:v>
      </x:c>
    </x:row>
    <x:row r="35" ht="22.5" customHeight="1">
      <x:c r="A35" s="51" t="str">
        <x:v>HU-08</x:v>
      </x:c>
      <x:c r="B35" s="20" t="str"/>
      <x:c r="C35" s="20" t="str">
        <x:v>Documentar y validar la entrega del incremento</x:v>
      </x:c>
      <x:c r="D35" s="20" t="str">
        <x:v>Juan Pablo Arenas Avendaño</x:v>
      </x:c>
      <x:c r="E35" s="20" t="str">
        <x:v>DONE</x:v>
      </x:c>
      <x:c r="F35" s="73" t="n">
        <x:f>SUM(F36:F38)</x:f>
        <x:v>9</x:v>
      </x:c>
      <x:c r="G35" s="73" t="n">
        <x:f>SUM(G36:G38)</x:f>
        <x:v>8</x:v>
      </x:c>
      <x:c r="H35" s="73" t="n">
        <x:f>SUM(H36:H38)</x:f>
        <x:v>0</x:v>
      </x:c>
      <x:c r="I35" s="73" t="n">
        <x:f>SUM(I36:I38)</x:f>
        <x:v>0</x:v>
      </x:c>
      <x:c r="J35" s="73" t="n">
        <x:f>SUM(J36:J38)</x:f>
        <x:v>0</x:v>
      </x:c>
      <x:c r="K35" s="73" t="n">
        <x:f>SUM(K36:K38)</x:f>
        <x:v>0</x:v>
      </x:c>
      <x:c r="L35" s="73" t="n">
        <x:f>SUM(L36:L38)</x:f>
        <x:v>0</x:v>
      </x:c>
      <x:c r="M35" s="73" t="n">
        <x:f>SUM(M36:M38)</x:f>
        <x:v>0</x:v>
      </x:c>
      <x:c r="N35" s="73" t="n">
        <x:f>SUM(N36:N38)</x:f>
        <x:v>0</x:v>
      </x:c>
      <x:c r="O35" s="73" t="n">
        <x:f>SUM(O36:O38)</x:f>
        <x:v>0</x:v>
      </x:c>
      <x:c r="P35" s="73" t="n">
        <x:f>SUM(P36:P38)</x:f>
        <x:v>0</x:v>
      </x:c>
      <x:c r="Q35" s="73" t="n">
        <x:f>SUM(Q36:Q38)</x:f>
        <x:v>0</x:v>
      </x:c>
      <x:c r="R35" s="73" t="n">
        <x:f>SUM(R36:R38)</x:f>
        <x:v>0</x:v>
      </x:c>
      <x:c r="S35" s="73" t="n">
        <x:f>SUM(S36:S38)</x:f>
        <x:v>8</x:v>
      </x:c>
      <x:c r="U35" s="68" t="str">
        <x:v>Día 9</x:v>
      </x:c>
      <x:c r="V35" s="69" t="n">
        <x:f>P4</x:f>
        <x:v>30</x:v>
      </x:c>
      <x:c r="W35" s="69" t="n">
        <x:f>P5</x:f>
        <x:v>28</x:v>
      </x:c>
    </x:row>
    <x:row r="36" ht="27" customHeight="1">
      <x:c r="A36" s="28" t="str"/>
      <x:c r="B36" s="28" t="str">
        <x:v>HU-08.01</x:v>
      </x:c>
      <x:c r="C36" s="29" t="str">
        <x:v>Actualizar README con arquitectura, comandos, endpoints y alcance real</x:v>
      </x:c>
      <x:c r="D36" s="28" t="str">
        <x:v>Juan Pablo Arenas Avendaño</x:v>
      </x:c>
      <x:c r="E36" s="30" t="str">
        <x:v>DONE</x:v>
      </x:c>
      <x:c r="F36" s="74" t="n">
        <x:v>3</x:v>
      </x:c>
      <x:c r="G36" s="74" t="n">
        <x:f>SUM(H36:S36)</x:f>
        <x:v>3</x:v>
      </x:c>
      <x:c r="H36" s="74" t="n">
        <x:v>0</x:v>
      </x:c>
      <x:c r="I36" s="74" t="n">
        <x:v>0</x:v>
      </x:c>
      <x:c r="J36" s="74" t="n">
        <x:v>0</x:v>
      </x:c>
      <x:c r="K36" s="74" t="n">
        <x:v>0</x:v>
      </x:c>
      <x:c r="L36" s="74" t="n">
        <x:v>0</x:v>
      </x:c>
      <x:c r="M36" s="74" t="n">
        <x:v>0</x:v>
      </x:c>
      <x:c r="N36" s="74" t="n">
        <x:v>0</x:v>
      </x:c>
      <x:c r="O36" s="74" t="n">
        <x:v>0</x:v>
      </x:c>
      <x:c r="P36" s="74" t="n">
        <x:v>0</x:v>
      </x:c>
      <x:c r="Q36" s="74" t="n">
        <x:v>0</x:v>
      </x:c>
      <x:c r="R36" s="74" t="n">
        <x:v>0</x:v>
      </x:c>
      <x:c r="S36" s="74" t="n">
        <x:v>3</x:v>
      </x:c>
      <x:c r="U36" s="68" t="str">
        <x:v>Día 10</x:v>
      </x:c>
      <x:c r="V36" s="69" t="n">
        <x:f>Q4</x:f>
        <x:v>20</x:v>
      </x:c>
      <x:c r="W36" s="69" t="n">
        <x:f>Q5</x:f>
        <x:v>20</x:v>
      </x:c>
    </x:row>
    <x:row r="37" ht="27" customHeight="1">
      <x:c r="A37" s="36" t="str"/>
      <x:c r="B37" s="36" t="str">
        <x:v>HU-08.02</x:v>
      </x:c>
      <x:c r="C37" s="37" t="str">
        <x:v>Confirmar integridad del enunciado y revisar el estado final de Git</x:v>
      </x:c>
      <x:c r="D37" s="36" t="str">
        <x:v>David Ricardo Carvajal Barragán</x:v>
      </x:c>
      <x:c r="E37" s="30" t="str">
        <x:v>DONE</x:v>
      </x:c>
      <x:c r="F37" s="75" t="n">
        <x:v>3</x:v>
      </x:c>
      <x:c r="G37" s="75" t="n">
        <x:f>SUM(H37:S37)</x:f>
        <x:v>3</x:v>
      </x:c>
      <x:c r="H37" s="75" t="n">
        <x:v>0</x:v>
      </x:c>
      <x:c r="I37" s="75" t="n">
        <x:v>0</x:v>
      </x:c>
      <x:c r="J37" s="75" t="n">
        <x:v>0</x:v>
      </x:c>
      <x:c r="K37" s="75" t="n">
        <x:v>0</x:v>
      </x:c>
      <x:c r="L37" s="75" t="n">
        <x:v>0</x:v>
      </x:c>
      <x:c r="M37" s="75" t="n">
        <x:v>0</x:v>
      </x:c>
      <x:c r="N37" s="75" t="n">
        <x:v>0</x:v>
      </x:c>
      <x:c r="O37" s="75" t="n">
        <x:v>0</x:v>
      </x:c>
      <x:c r="P37" s="75" t="n">
        <x:v>0</x:v>
      </x:c>
      <x:c r="Q37" s="75" t="n">
        <x:v>0</x:v>
      </x:c>
      <x:c r="R37" s="75" t="n">
        <x:v>0</x:v>
      </x:c>
      <x:c r="S37" s="75" t="n">
        <x:v>3</x:v>
      </x:c>
      <x:c r="U37" s="68" t="str">
        <x:v>Día 11</x:v>
      </x:c>
      <x:c r="V37" s="69" t="n">
        <x:f>R4</x:f>
        <x:v>10</x:v>
      </x:c>
      <x:c r="W37" s="69" t="n">
        <x:f>R5</x:f>
        <x:v>9</x:v>
      </x:c>
    </x:row>
    <x:row r="38" ht="27" customHeight="1">
      <x:c r="A38" s="28" t="str"/>
      <x:c r="B38" s="28" t="str">
        <x:v>HU-08.03</x:v>
      </x:c>
      <x:c r="C38" s="29" t="str">
        <x:v>Realizar revisión visual de escritorio y registrar la validación móvil pendiente</x:v>
      </x:c>
      <x:c r="D38" s="28" t="str">
        <x:v>Juan Pablo Arenas Avendaño</x:v>
      </x:c>
      <x:c r="E38" s="30" t="str">
        <x:v>DONE</x:v>
      </x:c>
      <x:c r="F38" s="74" t="n">
        <x:v>3</x:v>
      </x:c>
      <x:c r="G38" s="74" t="n">
        <x:f>SUM(H38:S38)</x:f>
        <x:v>2</x:v>
      </x:c>
      <x:c r="H38" s="74" t="n">
        <x:v>0</x:v>
      </x:c>
      <x:c r="I38" s="74" t="n">
        <x:v>0</x:v>
      </x:c>
      <x:c r="J38" s="74" t="n">
        <x:v>0</x:v>
      </x:c>
      <x:c r="K38" s="74" t="n">
        <x:v>0</x:v>
      </x:c>
      <x:c r="L38" s="74" t="n">
        <x:v>0</x:v>
      </x:c>
      <x:c r="M38" s="74" t="n">
        <x:v>0</x:v>
      </x:c>
      <x:c r="N38" s="74" t="n">
        <x:v>0</x:v>
      </x:c>
      <x:c r="O38" s="74" t="n">
        <x:v>0</x:v>
      </x:c>
      <x:c r="P38" s="74" t="n">
        <x:v>0</x:v>
      </x:c>
      <x:c r="Q38" s="74" t="n">
        <x:v>0</x:v>
      </x:c>
      <x:c r="R38" s="74" t="n">
        <x:v>0</x:v>
      </x:c>
      <x:c r="S38" s="74" t="n">
        <x:v>2</x:v>
      </x:c>
      <x:c r="U38" s="68" t="str">
        <x:v>Día 12</x:v>
      </x:c>
      <x:c r="V38" s="69" t="n">
        <x:f>S4</x:f>
        <x:v>0</x:v>
      </x:c>
      <x:c r="W38" s="69" t="n">
        <x:f>S5</x:f>
        <x:v>0</x:v>
      </x:c>
    </x:row>
  </x:sheetData>
  <x:mergeCells>
    <x:mergeCell ref="A1:G1"/>
    <x:mergeCell ref="H1:M1"/>
    <x:mergeCell ref="N1:S1"/>
    <x:mergeCell ref="A2:A3"/>
    <x:mergeCell ref="B2:B3"/>
    <x:mergeCell ref="C2:C3"/>
    <x:mergeCell ref="D2:D3"/>
    <x:mergeCell ref="E2:E3"/>
    <x:mergeCell ref="F2:F3"/>
    <x:mergeCell ref="G2:G3"/>
    <x:mergeCell ref="A4:E4"/>
    <x:mergeCell ref="C5:E5"/>
    <x:mergeCell ref="A6:G6"/>
  </x:mergeCells>
  <x:dataValidations count="2">
    <x:dataValidation type="list" sqref="D7:D38">
      <x:formula1>"David Ricardo Carvajal Barragán,Juan Pablo Arenas Avendaño"</x:formula1>
    </x:dataValidation>
    <x:dataValidation type="list" sqref="E7:E38">
      <x:formula1>"TO DO,IN PROGRESS,DONE"</x:formula1>
    </x:dataValidation>
  </x:dataValidations>
  <x:pageMargins left="0.7" right="0.7" top="0.75" bottom="0.75" header="0.3" footer="0.3"/>
  <x:drawing xmlns:r="http://schemas.openxmlformats.org/officeDocument/2006/relationships" r:id="R235adda9518a4b8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2200000286102295" hidden="0" customWidth="1"/>
    <x:col min="2" max="2" width="22.780000686645508" hidden="0" customWidth="1"/>
    <x:col min="3" max="3" width="12.779999732971191" hidden="0" customWidth="1"/>
    <x:col min="4" max="4" width="12.779999732971191" hidden="0" customWidth="1"/>
    <x:col min="5" max="5" width="2.440000057220459" hidden="0" customWidth="1"/>
    <x:col min="6" max="6" width="2.440000057220459" hidden="0" customWidth="1"/>
    <x:col min="7" max="7" width="22.780000686645508" hidden="0" customWidth="1"/>
    <x:col min="8" max="8" width="17.219999313354492" hidden="0" customWidth="1"/>
    <x:col min="9" max="9" width="17.219999313354492" hidden="0" customWidth="1"/>
    <x:col min="10" max="10" width="3.109999895095825" hidden="0" customWidth="1"/>
    <x:col min="11" max="11" width="22.780000686645508" hidden="0" customWidth="1"/>
    <x:col min="12" max="12" width="17.219999313354492" hidden="0" customWidth="1"/>
    <x:col min="13" max="13" width="18.329999923706055" hidden="0" customWidth="1"/>
    <x:col min="14" max="14" width="16.670000076293945" hidden="0" customWidth="1"/>
    <x:col min="15" max="15" width="18.889999389648438" hidden="0" customWidth="1"/>
    <x:col min="16" max="16" width="23.889999389648438" hidden="0" customWidth="1"/>
    <x:col min="17" max="17" width="23.889999389648438" hidden="0" customWidth="1"/>
  </x:cols>
  <x:sheetData>
    <x:row r="1">
      <x:c r="B1" s="76" t="str">
        <x:v>ASIGNADO A</x:v>
      </x:c>
      <x:c r="C1" s="76" t="str">
        <x:v>P-US ASIGNADOS</x:v>
      </x:c>
      <x:c r="D1" s="76" t="str">
        <x:v>P-US REALIZADOS</x:v>
      </x:c>
    </x:row>
    <x:row r="2">
      <x:c r="B2" s="79" t="str">
        <x:f>'Sprint Backlog - P-US'!D8</x:f>
        <x:v>David Ricardo Carvajal Barragán</x:v>
      </x:c>
      <x:c r="C2" s="80" t="n">
        <x:f>'Sprint Backlog - P-US'!F8</x:f>
        <x:v>1</x:v>
      </x:c>
      <x:c r="D2" s="80" t="n">
        <x:f>'Sprint Backlog - P-US'!G8</x:f>
        <x:v>1</x:v>
      </x:c>
    </x:row>
    <x:row r="3" ht="39" customHeight="1">
      <x:c r="B3" s="79" t="str">
        <x:f>'Sprint Backlog - P-US'!D9</x:f>
        <x:v>Juan Pablo Arenas Avendaño</x:v>
      </x:c>
      <x:c r="C3" s="80" t="n">
        <x:f>'Sprint Backlog - P-US'!F9</x:f>
        <x:v>1</x:v>
      </x:c>
      <x:c r="D3" s="80" t="n">
        <x:f>'Sprint Backlog - P-US'!G9</x:f>
        <x:v>1</x:v>
      </x:c>
      <x:c r="G3" s="88" t="str">
        <x:v>Nombre estudiante</x:v>
      </x:c>
      <x:c r="H3" s="88" t="str">
        <x:v>Suma de P-US ASIGNADOS</x:v>
      </x:c>
      <x:c r="I3" s="88" t="str">
        <x:v>Suma de P-US REALIZADOS</x:v>
      </x:c>
      <x:c r="K3" s="112" t="str">
        <x:v>Nombre estudiante</x:v>
      </x:c>
      <x:c r="L3" s="112" t="str">
        <x:v>Suma de P-US ASIGNADOS</x:v>
      </x:c>
      <x:c r="M3" s="112" t="str">
        <x:v>Suma de P-US REALIZADOS</x:v>
      </x:c>
      <x:c r="N3" s="112" t="str">
        <x:v>% BASADO EN PROMEDIO</x:v>
      </x:c>
      <x:c r="O3" s="113" t="str">
        <x:v>NOTA BASADA EN PROMEDIO</x:v>
      </x:c>
      <x:c r="P3" s="112" t="str">
        <x:v>% BASADO EN RENDIMIENTO INDIVIDUAL</x:v>
      </x:c>
      <x:c r="Q3" s="114" t="str">
        <x:v>NOTA BASADA EN RENDIMIENTO INDIVIDUAL</x:v>
      </x:c>
    </x:row>
    <x:row r="4" ht="22.5" customHeight="1">
      <x:c r="B4" s="79" t="str">
        <x:f>'Sprint Backlog - P-US'!D10</x:f>
        <x:v>David Ricardo Carvajal Barragán</x:v>
      </x:c>
      <x:c r="C4" s="80" t="n">
        <x:f>'Sprint Backlog - P-US'!F10</x:f>
        <x:v>1</x:v>
      </x:c>
      <x:c r="D4" s="80" t="n">
        <x:f>'Sprint Backlog - P-US'!G10</x:f>
        <x:v>1</x:v>
      </x:c>
      <x:c r="G4" s="89" t="str">
        <x:v>David Ricardo Carvajal Barragán</x:v>
      </x:c>
      <x:c r="H4" s="89" t="n">
        <x:f>SUMIF($B$2:$B$25,G4,$C$2:$C$25)</x:f>
        <x:v>20</x:v>
      </x:c>
      <x:c r="I4" s="89" t="n">
        <x:f>SUMIF($B$2:$B$25,G4,$D$2:$D$25)</x:f>
        <x:v>20</x:v>
      </x:c>
      <x:c r="K4" s="115" t="str">
        <x:v>David Ricardo Carvajal Barragán</x:v>
      </x:c>
      <x:c r="L4" s="116" t="n">
        <x:f>H4</x:f>
        <x:v>20</x:v>
      </x:c>
      <x:c r="M4" s="116" t="n">
        <x:f>I4</x:f>
        <x:v>20</x:v>
      </x:c>
      <x:c r="N4" s="117" t="n">
        <x:f>IFERROR(M4/$L$7,0)</x:f>
        <x:v>1</x:v>
      </x:c>
      <x:c r="O4" s="118" t="n">
        <x:f>MIN($L$8*N4,5)</x:f>
        <x:v>5</x:v>
      </x:c>
      <x:c r="P4" s="117" t="n">
        <x:f>IFERROR(M4/L4,0)</x:f>
        <x:v>1</x:v>
      </x:c>
      <x:c r="Q4" s="119" t="n">
        <x:f>MIN($L$8*P4,5)</x:f>
        <x:v>5</x:v>
      </x:c>
    </x:row>
    <x:row r="5" ht="22.5" customHeight="1">
      <x:c r="B5" s="79" t="str">
        <x:f>'Sprint Backlog - P-US'!D12</x:f>
        <x:v>Juan Pablo Arenas Avendaño</x:v>
      </x:c>
      <x:c r="C5" s="80" t="n">
        <x:f>'Sprint Backlog - P-US'!F12</x:f>
        <x:v>2</x:v>
      </x:c>
      <x:c r="D5" s="80" t="n">
        <x:f>'Sprint Backlog - P-US'!G12</x:f>
        <x:v>2</x:v>
      </x:c>
      <x:c r="G5" s="89" t="str">
        <x:v>Juan Pablo Arenas Avendaño</x:v>
      </x:c>
      <x:c r="H5" s="89" t="n">
        <x:f>SUMIF($B$2:$B$25,G5,$C$2:$C$25)</x:f>
        <x:v>20</x:v>
      </x:c>
      <x:c r="I5" s="89" t="n">
        <x:f>SUMIF($B$2:$B$25,G5,$D$2:$D$25)</x:f>
        <x:v>20</x:v>
      </x:c>
      <x:c r="K5" s="115" t="str">
        <x:v>Juan Pablo Arenas Avendaño</x:v>
      </x:c>
      <x:c r="L5" s="116" t="n">
        <x:f>H5</x:f>
        <x:v>20</x:v>
      </x:c>
      <x:c r="M5" s="116" t="n">
        <x:f>I5</x:f>
        <x:v>20</x:v>
      </x:c>
      <x:c r="N5" s="117" t="n">
        <x:f>IFERROR(M5/$L$7,0)</x:f>
        <x:v>1</x:v>
      </x:c>
      <x:c r="O5" s="118" t="n">
        <x:f>MIN($L$8*N5,5)</x:f>
        <x:v>5</x:v>
      </x:c>
      <x:c r="P5" s="117" t="n">
        <x:f>IFERROR(M5/L5,0)</x:f>
        <x:v>1</x:v>
      </x:c>
      <x:c r="Q5" s="119" t="n">
        <x:f>MIN($L$8*P5,5)</x:f>
        <x:v>5</x:v>
      </x:c>
    </x:row>
    <x:row r="6" ht="22.5" customHeight="1">
      <x:c r="B6" s="79" t="str">
        <x:f>'Sprint Backlog - P-US'!D13</x:f>
        <x:v>David Ricardo Carvajal Barragán</x:v>
      </x:c>
      <x:c r="C6" s="80" t="n">
        <x:f>'Sprint Backlog - P-US'!F13</x:f>
        <x:v>2</x:v>
      </x:c>
      <x:c r="D6" s="80" t="n">
        <x:f>'Sprint Backlog - P-US'!G13</x:f>
        <x:v>2</x:v>
      </x:c>
      <x:c r="G6" s="90" t="str">
        <x:v>Total general</x:v>
      </x:c>
      <x:c r="H6" s="90" t="n">
        <x:f>SUM(H4:H5)</x:f>
        <x:v>40</x:v>
      </x:c>
      <x:c r="I6" s="90" t="n">
        <x:f>SUM(I4:I5)</x:f>
        <x:v>40</x:v>
      </x:c>
      <x:c r="K6" s="115"/>
      <x:c r="L6" s="116"/>
      <x:c r="M6" s="116"/>
      <x:c r="N6" s="115"/>
      <x:c r="O6" s="115"/>
      <x:c r="P6" s="115"/>
      <x:c r="Q6" s="115"/>
    </x:row>
    <x:row r="7" ht="22.5" customHeight="1">
      <x:c r="B7" s="79" t="str">
        <x:f>'Sprint Backlog - P-US'!D14</x:f>
        <x:v>Juan Pablo Arenas Avendaño</x:v>
      </x:c>
      <x:c r="C7" s="80" t="n">
        <x:f>'Sprint Backlog - P-US'!F14</x:f>
        <x:v>1</x:v>
      </x:c>
      <x:c r="D7" s="80" t="n">
        <x:f>'Sprint Backlog - P-US'!G14</x:f>
        <x:v>1</x:v>
      </x:c>
      <x:c r="K7" s="115" t="str">
        <x:v>PROMEDIO</x:v>
      </x:c>
      <x:c r="L7" s="116" t="n">
        <x:f>AVERAGE(L4:L5)</x:f>
        <x:v>20</x:v>
      </x:c>
      <x:c r="M7" s="116"/>
      <x:c r="N7" s="115"/>
      <x:c r="O7" s="115"/>
      <x:c r="P7" s="115"/>
      <x:c r="Q7" s="115"/>
    </x:row>
    <x:row r="8" ht="22.5" customHeight="1">
      <x:c r="B8" s="79" t="str">
        <x:f>'Sprint Backlog - P-US'!D16</x:f>
        <x:v>David Ricardo Carvajal Barragán</x:v>
      </x:c>
      <x:c r="C8" s="80" t="n">
        <x:f>'Sprint Backlog - P-US'!F16</x:f>
        <x:v>2</x:v>
      </x:c>
      <x:c r="D8" s="80" t="n">
        <x:f>'Sprint Backlog - P-US'!G16</x:f>
        <x:v>2</x:v>
      </x:c>
      <x:c r="K8" s="115" t="str">
        <x:v>NOTA MÁXIMA</x:v>
      </x:c>
      <x:c r="L8" s="115" t="n">
        <x:v>5</x:v>
      </x:c>
      <x:c r="M8" s="115"/>
      <x:c r="N8" s="115"/>
      <x:c r="O8" s="115"/>
      <x:c r="P8" s="115"/>
      <x:c r="Q8" s="115"/>
    </x:row>
    <x:row r="9">
      <x:c r="B9" s="79" t="str">
        <x:f>'Sprint Backlog - P-US'!D17</x:f>
        <x:v>Juan Pablo Arenas Avendaño</x:v>
      </x:c>
      <x:c r="C9" s="80" t="n">
        <x:f>'Sprint Backlog - P-US'!F17</x:f>
        <x:v>2</x:v>
      </x:c>
      <x:c r="D9" s="80" t="n">
        <x:f>'Sprint Backlog - P-US'!G17</x:f>
        <x:v>2</x:v>
      </x:c>
    </x:row>
    <x:row r="10">
      <x:c r="B10" s="79" t="str">
        <x:f>'Sprint Backlog - P-US'!D18</x:f>
        <x:v>David Ricardo Carvajal Barragán</x:v>
      </x:c>
      <x:c r="C10" s="80" t="n">
        <x:f>'Sprint Backlog - P-US'!F18</x:f>
        <x:v>1</x:v>
      </x:c>
      <x:c r="D10" s="80" t="n">
        <x:f>'Sprint Backlog - P-US'!G18</x:f>
        <x:v>1</x:v>
      </x:c>
    </x:row>
    <x:row r="11">
      <x:c r="B11" s="79" t="str">
        <x:f>'Sprint Backlog - P-US'!D20</x:f>
        <x:v>Juan Pablo Arenas Avendaño</x:v>
      </x:c>
      <x:c r="C11" s="80" t="n">
        <x:f>'Sprint Backlog - P-US'!F20</x:f>
        <x:v>2</x:v>
      </x:c>
      <x:c r="D11" s="80" t="n">
        <x:f>'Sprint Backlog - P-US'!G20</x:f>
        <x:v>2</x:v>
      </x:c>
    </x:row>
    <x:row r="12">
      <x:c r="B12" s="79" t="str">
        <x:f>'Sprint Backlog - P-US'!D21</x:f>
        <x:v>David Ricardo Carvajal Barragán</x:v>
      </x:c>
      <x:c r="C12" s="80" t="n">
        <x:f>'Sprint Backlog - P-US'!F21</x:f>
        <x:v>2</x:v>
      </x:c>
      <x:c r="D12" s="80" t="n">
        <x:f>'Sprint Backlog - P-US'!G21</x:f>
        <x:v>2</x:v>
      </x:c>
    </x:row>
    <x:row r="13">
      <x:c r="B13" s="79" t="str">
        <x:f>'Sprint Backlog - P-US'!D22</x:f>
        <x:v>Juan Pablo Arenas Avendaño</x:v>
      </x:c>
      <x:c r="C13" s="80" t="n">
        <x:f>'Sprint Backlog - P-US'!F22</x:f>
        <x:v>1</x:v>
      </x:c>
      <x:c r="D13" s="80" t="n">
        <x:f>'Sprint Backlog - P-US'!G22</x:f>
        <x:v>1</x:v>
      </x:c>
    </x:row>
    <x:row r="14">
      <x:c r="B14" s="79" t="str">
        <x:f>'Sprint Backlog - P-US'!D24</x:f>
        <x:v>David Ricardo Carvajal Barragán</x:v>
      </x:c>
      <x:c r="C14" s="80" t="n">
        <x:f>'Sprint Backlog - P-US'!F24</x:f>
        <x:v>1</x:v>
      </x:c>
      <x:c r="D14" s="80" t="n">
        <x:f>'Sprint Backlog - P-US'!G24</x:f>
        <x:v>1</x:v>
      </x:c>
    </x:row>
    <x:row r="15">
      <x:c r="B15" s="79" t="str">
        <x:f>'Sprint Backlog - P-US'!D25</x:f>
        <x:v>Juan Pablo Arenas Avendaño</x:v>
      </x:c>
      <x:c r="C15" s="80" t="n">
        <x:f>'Sprint Backlog - P-US'!F25</x:f>
        <x:v>1</x:v>
      </x:c>
      <x:c r="D15" s="80" t="n">
        <x:f>'Sprint Backlog - P-US'!G25</x:f>
        <x:v>1</x:v>
      </x:c>
    </x:row>
    <x:row r="16">
      <x:c r="B16" s="79" t="str">
        <x:f>'Sprint Backlog - P-US'!D26</x:f>
        <x:v>David Ricardo Carvajal Barragán</x:v>
      </x:c>
      <x:c r="C16" s="80" t="n">
        <x:f>'Sprint Backlog - P-US'!F26</x:f>
        <x:v>1</x:v>
      </x:c>
      <x:c r="D16" s="80" t="n">
        <x:f>'Sprint Backlog - P-US'!G26</x:f>
        <x:v>1</x:v>
      </x:c>
    </x:row>
    <x:row r="17">
      <x:c r="B17" s="79" t="str">
        <x:f>'Sprint Backlog - P-US'!D28</x:f>
        <x:v>Juan Pablo Arenas Avendaño</x:v>
      </x:c>
      <x:c r="C17" s="80" t="n">
        <x:f>'Sprint Backlog - P-US'!F28</x:f>
        <x:v>3</x:v>
      </x:c>
      <x:c r="D17" s="80" t="n">
        <x:f>'Sprint Backlog - P-US'!G28</x:f>
        <x:v>3</x:v>
      </x:c>
    </x:row>
    <x:row r="18">
      <x:c r="B18" s="79" t="str">
        <x:f>'Sprint Backlog - P-US'!D29</x:f>
        <x:v>David Ricardo Carvajal Barragán</x:v>
      </x:c>
      <x:c r="C18" s="80" t="n">
        <x:f>'Sprint Backlog - P-US'!F29</x:f>
        <x:v>3</x:v>
      </x:c>
      <x:c r="D18" s="80" t="n">
        <x:f>'Sprint Backlog - P-US'!G29</x:f>
        <x:v>3</x:v>
      </x:c>
    </x:row>
    <x:row r="19">
      <x:c r="B19" s="79" t="str">
        <x:f>'Sprint Backlog - P-US'!D30</x:f>
        <x:v>Juan Pablo Arenas Avendaño</x:v>
      </x:c>
      <x:c r="C19" s="80" t="n">
        <x:f>'Sprint Backlog - P-US'!F30</x:f>
        <x:v>2</x:v>
      </x:c>
      <x:c r="D19" s="80" t="n">
        <x:f>'Sprint Backlog - P-US'!G30</x:f>
        <x:v>2</x:v>
      </x:c>
    </x:row>
    <x:row r="20">
      <x:c r="B20" s="79" t="str">
        <x:f>'Sprint Backlog - P-US'!D32</x:f>
        <x:v>David Ricardo Carvajal Barragán</x:v>
      </x:c>
      <x:c r="C20" s="80" t="n">
        <x:f>'Sprint Backlog - P-US'!F32</x:f>
        <x:v>3</x:v>
      </x:c>
      <x:c r="D20" s="80" t="n">
        <x:f>'Sprint Backlog - P-US'!G32</x:f>
        <x:v>3</x:v>
      </x:c>
    </x:row>
    <x:row r="21">
      <x:c r="B21" s="79" t="str">
        <x:f>'Sprint Backlog - P-US'!D33</x:f>
        <x:v>Juan Pablo Arenas Avendaño</x:v>
      </x:c>
      <x:c r="C21" s="80" t="n">
        <x:f>'Sprint Backlog - P-US'!F33</x:f>
        <x:v>3</x:v>
      </x:c>
      <x:c r="D21" s="80" t="n">
        <x:f>'Sprint Backlog - P-US'!G33</x:f>
        <x:v>3</x:v>
      </x:c>
    </x:row>
    <x:row r="22">
      <x:c r="B22" s="79" t="str">
        <x:f>'Sprint Backlog - P-US'!D34</x:f>
        <x:v>David Ricardo Carvajal Barragán</x:v>
      </x:c>
      <x:c r="C22" s="80" t="n">
        <x:f>'Sprint Backlog - P-US'!F34</x:f>
        <x:v>2</x:v>
      </x:c>
      <x:c r="D22" s="80" t="n">
        <x:f>'Sprint Backlog - P-US'!G34</x:f>
        <x:v>2</x:v>
      </x:c>
    </x:row>
    <x:row r="23">
      <x:c r="B23" s="79" t="str">
        <x:f>'Sprint Backlog - P-US'!D36</x:f>
        <x:v>Juan Pablo Arenas Avendaño</x:v>
      </x:c>
      <x:c r="C23" s="80" t="n">
        <x:f>'Sprint Backlog - P-US'!F36</x:f>
        <x:v>1</x:v>
      </x:c>
      <x:c r="D23" s="80" t="n">
        <x:f>'Sprint Backlog - P-US'!G36</x:f>
        <x:v>1</x:v>
      </x:c>
    </x:row>
    <x:row r="24">
      <x:c r="B24" s="79" t="str">
        <x:f>'Sprint Backlog - P-US'!D37</x:f>
        <x:v>David Ricardo Carvajal Barragán</x:v>
      </x:c>
      <x:c r="C24" s="80" t="n">
        <x:f>'Sprint Backlog - P-US'!F37</x:f>
        <x:v>1</x:v>
      </x:c>
      <x:c r="D24" s="80" t="n">
        <x:f>'Sprint Backlog - P-US'!G37</x:f>
        <x:v>1</x:v>
      </x:c>
    </x:row>
    <x:row r="25">
      <x:c r="B25" s="79" t="str">
        <x:f>'Sprint Backlog - P-US'!D38</x:f>
        <x:v>Juan Pablo Arenas Avendaño</x:v>
      </x:c>
      <x:c r="C25" s="80" t="n">
        <x:f>'Sprint Backlog - P-US'!F38</x:f>
        <x:v>1</x:v>
      </x:c>
      <x:c r="D25" s="80" t="n">
        <x:f>'Sprint Backlog - P-US'!G38</x:f>
        <x:v>1</x:v>
      </x:c>
    </x:row>
  </x:sheetData>
  <x:pageMargins left="0.7" right="0.7" top="0.75" bottom="0.75" header="0.3" footer="0.3"/>
</x:worksheet>
</file>